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nd\Downloads\Excel_Files\dashboard\"/>
    </mc:Choice>
  </mc:AlternateContent>
  <xr:revisionPtr revIDLastSave="0" documentId="13_ncr:1_{2E8096DF-6595-44EB-BA29-52B74EA005E4}" xr6:coauthVersionLast="47" xr6:coauthVersionMax="47" xr10:uidLastSave="{00000000-0000-0000-0000-000000000000}"/>
  <bookViews>
    <workbookView xWindow="-108" yWindow="-108" windowWidth="23256" windowHeight="12456" xr2:uid="{9A145B0A-AED4-43B1-8ECF-22C44F00FBC5}"/>
  </bookViews>
  <sheets>
    <sheet name="ProjectTracker" sheetId="1" r:id="rId1"/>
  </sheets>
  <definedNames>
    <definedName name="_xlnm._FilterDatabase" localSheetId="0" hidden="1">ProjectTracker!$A$1:$N$111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2" i="1"/>
  <c r="M2" i="1" s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77" i="1"/>
  <c r="N78" i="1"/>
  <c r="N79" i="1"/>
  <c r="N80" i="1"/>
  <c r="N81" i="1"/>
  <c r="N82" i="1"/>
  <c r="N83" i="1"/>
  <c r="N84" i="1"/>
  <c r="N85" i="1"/>
  <c r="N8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27" i="1"/>
  <c r="N28" i="1"/>
  <c r="N29" i="1"/>
  <c r="N30" i="1"/>
  <c r="N31" i="1"/>
  <c r="N32" i="1"/>
  <c r="N33" i="1"/>
  <c r="N34" i="1"/>
  <c r="N35" i="1"/>
  <c r="N36" i="1"/>
  <c r="N22" i="1"/>
  <c r="N23" i="1"/>
  <c r="N24" i="1"/>
  <c r="N25" i="1"/>
  <c r="N26" i="1"/>
  <c r="N17" i="1"/>
  <c r="N18" i="1"/>
  <c r="N19" i="1"/>
  <c r="N20" i="1"/>
  <c r="N21" i="1"/>
  <c r="N15" i="1"/>
  <c r="N16" i="1"/>
  <c r="N7" i="1"/>
  <c r="N8" i="1"/>
  <c r="N9" i="1"/>
  <c r="N10" i="1"/>
  <c r="N11" i="1"/>
  <c r="N12" i="1"/>
  <c r="N13" i="1"/>
  <c r="N14" i="1"/>
  <c r="N3" i="1"/>
  <c r="N4" i="1"/>
  <c r="N5" i="1"/>
  <c r="N6" i="1"/>
  <c r="N2" i="1"/>
</calcChain>
</file>

<file path=xl/sharedStrings.xml><?xml version="1.0" encoding="utf-8"?>
<sst xmlns="http://schemas.openxmlformats.org/spreadsheetml/2006/main" count="704" uniqueCount="58">
  <si>
    <t>FY</t>
  </si>
  <si>
    <t>Banking</t>
  </si>
  <si>
    <t>Highways bank</t>
  </si>
  <si>
    <t>Neptune Universe Bank</t>
  </si>
  <si>
    <t>June</t>
  </si>
  <si>
    <t>FY26-27</t>
  </si>
  <si>
    <t>FY25 -26</t>
  </si>
  <si>
    <t>-</t>
  </si>
  <si>
    <t>Energy&amp;Utilities</t>
  </si>
  <si>
    <t>RedShine</t>
  </si>
  <si>
    <t>ConnCamel</t>
  </si>
  <si>
    <t>CompTech</t>
  </si>
  <si>
    <t>Bench</t>
  </si>
  <si>
    <t>InternalCrew</t>
  </si>
  <si>
    <t>Lifescience&amp;Health</t>
  </si>
  <si>
    <t>Epsilon</t>
  </si>
  <si>
    <t>GammaRay</t>
  </si>
  <si>
    <t>PROJECT NAME</t>
  </si>
  <si>
    <t>PROJECT CODE</t>
  </si>
  <si>
    <t>MONTH</t>
  </si>
  <si>
    <t>YEAR</t>
  </si>
  <si>
    <t xml:space="preserve"> PROJECT COST </t>
  </si>
  <si>
    <t xml:space="preserve"> PROJECT BENEFIT </t>
  </si>
  <si>
    <t>BFTE</t>
  </si>
  <si>
    <t>GFTE</t>
  </si>
  <si>
    <t>UTILIZIATION RATE</t>
  </si>
  <si>
    <t>PROFIT</t>
  </si>
  <si>
    <t>MARGIN%</t>
  </si>
  <si>
    <t>Qtr</t>
  </si>
  <si>
    <t>FY25 -26 - AMJ</t>
  </si>
  <si>
    <t>FY25 -26 - JAS</t>
  </si>
  <si>
    <t>FY25 -26 - OND</t>
  </si>
  <si>
    <t>FY25 -26 - JFM</t>
  </si>
  <si>
    <t>FY26-27 - AMJ</t>
  </si>
  <si>
    <t>Strip Chalk bank</t>
  </si>
  <si>
    <t>BusinessUnits</t>
  </si>
  <si>
    <t>CZ2409X</t>
  </si>
  <si>
    <t>CZ2490X</t>
  </si>
  <si>
    <t>BE2304X</t>
  </si>
  <si>
    <t>YD2478X</t>
  </si>
  <si>
    <t>CS3349X</t>
  </si>
  <si>
    <t>NS3568X</t>
  </si>
  <si>
    <t>YD3989X</t>
  </si>
  <si>
    <t>CW3567X</t>
  </si>
  <si>
    <t>CG4590X</t>
  </si>
  <si>
    <t>CK4789X</t>
  </si>
  <si>
    <t>CK4890X</t>
  </si>
  <si>
    <t>CK4823X</t>
  </si>
  <si>
    <t>CK4772X</t>
  </si>
  <si>
    <t>CK4734X</t>
  </si>
  <si>
    <t>CK4812X</t>
  </si>
  <si>
    <t>NK4823X</t>
  </si>
  <si>
    <t>YK4881X</t>
  </si>
  <si>
    <t>CK5661X</t>
  </si>
  <si>
    <t>CK5123X</t>
  </si>
  <si>
    <t>CK5489X</t>
  </si>
  <si>
    <t>CK6723X</t>
  </si>
  <si>
    <t>CK6790X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</si>
</sst>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9" fontId="0" fillId="0" borderId="0" xfId="1" applyFont="1"/>
    <xf numFmtId="0" fontId="3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A859-A5E5-4D9A-AD59-D64648D8BB85}">
  <dimension ref="A1:P118"/>
  <sheetViews>
    <sheetView tabSelected="1" workbookViewId="0">
      <selection activeCell="D4" sqref="D4"/>
    </sheetView>
  </sheetViews>
  <sheetFormatPr defaultRowHeight="14.4" x14ac:dyDescent="0.3"/>
  <cols>
    <col min="1" max="1" width="16.77734375" customWidth="1"/>
    <col min="2" max="2" width="21.109375" customWidth="1"/>
    <col min="3" max="3" width="16.88671875" customWidth="1"/>
    <col min="4" max="4" width="8" bestFit="1" customWidth="1"/>
    <col min="5" max="5" width="18.21875" customWidth="1"/>
    <col min="6" max="6" width="9.5546875" customWidth="1"/>
    <col min="7" max="7" width="6.5546875" customWidth="1"/>
    <col min="8" max="8" width="17.6640625" bestFit="1" customWidth="1"/>
    <col min="9" max="9" width="20.77734375" style="3" bestFit="1" customWidth="1"/>
    <col min="10" max="10" width="6.109375" bestFit="1" customWidth="1"/>
    <col min="11" max="11" width="6.33203125" bestFit="1" customWidth="1"/>
    <col min="12" max="12" width="16" bestFit="1" customWidth="1"/>
    <col min="13" max="13" width="14.33203125" bestFit="1" customWidth="1"/>
    <col min="14" max="14" width="21.44140625" style="5" bestFit="1" customWidth="1"/>
    <col min="15" max="15" width="13.6640625" bestFit="1" customWidth="1"/>
    <col min="16" max="16" width="11.88671875" bestFit="1" customWidth="1"/>
  </cols>
  <sheetData>
    <row r="1" spans="1:16" ht="18" x14ac:dyDescent="0.35">
      <c r="A1" s="6" t="s">
        <v>35</v>
      </c>
      <c r="B1" s="6" t="s">
        <v>17</v>
      </c>
      <c r="C1" s="6" t="s">
        <v>18</v>
      </c>
      <c r="D1" s="6" t="s">
        <v>0</v>
      </c>
      <c r="E1" s="6" t="s">
        <v>28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26</v>
      </c>
      <c r="M1" s="6" t="s">
        <v>27</v>
      </c>
      <c r="N1" s="6" t="s">
        <v>25</v>
      </c>
    </row>
    <row r="2" spans="1:16" x14ac:dyDescent="0.3">
      <c r="A2" s="7" t="s">
        <v>11</v>
      </c>
      <c r="B2" s="7" t="s">
        <v>12</v>
      </c>
      <c r="C2" s="7" t="s">
        <v>38</v>
      </c>
      <c r="D2" s="7" t="s">
        <v>6</v>
      </c>
      <c r="E2" s="7" t="s">
        <v>29</v>
      </c>
      <c r="F2" s="7" t="s">
        <v>4</v>
      </c>
      <c r="G2" s="7">
        <v>2026</v>
      </c>
      <c r="H2" s="8">
        <v>3648615</v>
      </c>
      <c r="I2" s="8">
        <v>8443980</v>
      </c>
      <c r="J2" s="9" t="s">
        <v>7</v>
      </c>
      <c r="K2" s="7">
        <v>39</v>
      </c>
      <c r="L2" s="8">
        <f t="shared" ref="L2:L33" si="0">IFERROR(I2-H2, 0)</f>
        <v>4795365</v>
      </c>
      <c r="M2" s="10">
        <f t="shared" ref="M2:M33" si="1">IFERROR(L2/I2,0)</f>
        <v>0.56790340573994724</v>
      </c>
      <c r="N2" s="10">
        <f t="shared" ref="N2:N33" si="2">IFERROR((J2/K2),0)</f>
        <v>0</v>
      </c>
    </row>
    <row r="3" spans="1:16" x14ac:dyDescent="0.3">
      <c r="A3" s="7" t="s">
        <v>11</v>
      </c>
      <c r="B3" s="7" t="s">
        <v>12</v>
      </c>
      <c r="C3" s="7" t="s">
        <v>38</v>
      </c>
      <c r="D3" s="7" t="s">
        <v>6</v>
      </c>
      <c r="E3" s="7" t="s">
        <v>30</v>
      </c>
      <c r="F3" s="7" t="s">
        <v>4</v>
      </c>
      <c r="G3" s="7">
        <v>2026</v>
      </c>
      <c r="H3" s="8">
        <v>4018835</v>
      </c>
      <c r="I3" s="8">
        <v>9012225</v>
      </c>
      <c r="J3" s="9" t="s">
        <v>7</v>
      </c>
      <c r="K3" s="7">
        <v>33</v>
      </c>
      <c r="L3" s="8">
        <f t="shared" si="0"/>
        <v>4993390</v>
      </c>
      <c r="M3" s="10">
        <f t="shared" si="1"/>
        <v>0.55406850139671393</v>
      </c>
      <c r="N3" s="10">
        <f t="shared" si="2"/>
        <v>0</v>
      </c>
    </row>
    <row r="4" spans="1:16" x14ac:dyDescent="0.3">
      <c r="A4" s="7" t="s">
        <v>11</v>
      </c>
      <c r="B4" s="7" t="s">
        <v>12</v>
      </c>
      <c r="C4" s="7" t="s">
        <v>38</v>
      </c>
      <c r="D4" s="7" t="s">
        <v>6</v>
      </c>
      <c r="E4" s="7" t="s">
        <v>31</v>
      </c>
      <c r="F4" s="7" t="s">
        <v>4</v>
      </c>
      <c r="G4" s="7">
        <v>2026</v>
      </c>
      <c r="H4" s="8">
        <v>4285483</v>
      </c>
      <c r="I4" s="8">
        <v>9078339</v>
      </c>
      <c r="J4" s="9" t="s">
        <v>7</v>
      </c>
      <c r="K4" s="7">
        <v>42</v>
      </c>
      <c r="L4" s="8">
        <f t="shared" si="0"/>
        <v>4792856</v>
      </c>
      <c r="M4" s="10">
        <f t="shared" si="1"/>
        <v>0.52794415366070824</v>
      </c>
      <c r="N4" s="10">
        <f t="shared" si="2"/>
        <v>0</v>
      </c>
    </row>
    <row r="5" spans="1:16" x14ac:dyDescent="0.3">
      <c r="A5" s="7" t="s">
        <v>11</v>
      </c>
      <c r="B5" s="7" t="s">
        <v>12</v>
      </c>
      <c r="C5" s="7" t="s">
        <v>38</v>
      </c>
      <c r="D5" s="7" t="s">
        <v>6</v>
      </c>
      <c r="E5" s="7" t="s">
        <v>32</v>
      </c>
      <c r="F5" s="7" t="s">
        <v>4</v>
      </c>
      <c r="G5" s="7">
        <v>2026</v>
      </c>
      <c r="H5" s="8">
        <v>5285864</v>
      </c>
      <c r="I5" s="8">
        <v>8719006</v>
      </c>
      <c r="J5" s="9" t="s">
        <v>7</v>
      </c>
      <c r="K5" s="7">
        <v>35</v>
      </c>
      <c r="L5" s="8">
        <f t="shared" si="0"/>
        <v>3433142</v>
      </c>
      <c r="M5" s="10">
        <f t="shared" si="1"/>
        <v>0.3937538292782457</v>
      </c>
      <c r="N5" s="10">
        <f t="shared" si="2"/>
        <v>0</v>
      </c>
      <c r="P5" s="2"/>
    </row>
    <row r="6" spans="1:16" x14ac:dyDescent="0.3">
      <c r="A6" s="7" t="s">
        <v>11</v>
      </c>
      <c r="B6" s="7" t="s">
        <v>12</v>
      </c>
      <c r="C6" s="7" t="s">
        <v>38</v>
      </c>
      <c r="D6" s="7" t="s">
        <v>5</v>
      </c>
      <c r="E6" s="7" t="s">
        <v>33</v>
      </c>
      <c r="F6" s="7" t="s">
        <v>4</v>
      </c>
      <c r="G6" s="7">
        <v>2026</v>
      </c>
      <c r="H6" s="8">
        <v>5785601</v>
      </c>
      <c r="I6" s="8">
        <v>8630148</v>
      </c>
      <c r="J6" s="9" t="s">
        <v>7</v>
      </c>
      <c r="K6" s="7">
        <v>46</v>
      </c>
      <c r="L6" s="8">
        <f t="shared" si="0"/>
        <v>2844547</v>
      </c>
      <c r="M6" s="10">
        <f t="shared" si="1"/>
        <v>0.32960581904273251</v>
      </c>
      <c r="N6" s="10">
        <f t="shared" si="2"/>
        <v>0</v>
      </c>
      <c r="P6" s="2"/>
    </row>
    <row r="7" spans="1:16" x14ac:dyDescent="0.3">
      <c r="A7" s="7" t="s">
        <v>1</v>
      </c>
      <c r="B7" s="7" t="s">
        <v>34</v>
      </c>
      <c r="C7" s="7" t="s">
        <v>36</v>
      </c>
      <c r="D7" s="7" t="s">
        <v>6</v>
      </c>
      <c r="E7" s="7" t="s">
        <v>29</v>
      </c>
      <c r="F7" s="7" t="s">
        <v>4</v>
      </c>
      <c r="G7" s="7">
        <v>2026</v>
      </c>
      <c r="H7" s="8">
        <v>3326031</v>
      </c>
      <c r="I7" s="8">
        <v>8504224</v>
      </c>
      <c r="J7" s="7">
        <v>18</v>
      </c>
      <c r="K7" s="7">
        <v>20</v>
      </c>
      <c r="L7" s="8">
        <f t="shared" si="0"/>
        <v>5178193</v>
      </c>
      <c r="M7" s="10">
        <f t="shared" si="1"/>
        <v>0.6088965906824656</v>
      </c>
      <c r="N7" s="10">
        <f t="shared" si="2"/>
        <v>0.9</v>
      </c>
    </row>
    <row r="8" spans="1:16" x14ac:dyDescent="0.3">
      <c r="A8" s="7" t="s">
        <v>1</v>
      </c>
      <c r="B8" s="7" t="s">
        <v>34</v>
      </c>
      <c r="C8" s="7" t="s">
        <v>36</v>
      </c>
      <c r="D8" s="7" t="s">
        <v>6</v>
      </c>
      <c r="E8" s="7" t="s">
        <v>30</v>
      </c>
      <c r="F8" s="7" t="s">
        <v>4</v>
      </c>
      <c r="G8" s="7">
        <v>2026</v>
      </c>
      <c r="H8" s="8">
        <v>4557606</v>
      </c>
      <c r="I8" s="8">
        <v>9014448</v>
      </c>
      <c r="J8" s="7">
        <v>16</v>
      </c>
      <c r="K8" s="7">
        <v>18</v>
      </c>
      <c r="L8" s="8">
        <f t="shared" si="0"/>
        <v>4456842</v>
      </c>
      <c r="M8" s="10">
        <f t="shared" si="1"/>
        <v>0.49441097225254393</v>
      </c>
      <c r="N8" s="10">
        <f t="shared" si="2"/>
        <v>0.88888888888888884</v>
      </c>
    </row>
    <row r="9" spans="1:16" x14ac:dyDescent="0.3">
      <c r="A9" s="7" t="s">
        <v>1</v>
      </c>
      <c r="B9" s="7" t="s">
        <v>34</v>
      </c>
      <c r="C9" s="7" t="s">
        <v>36</v>
      </c>
      <c r="D9" s="7" t="s">
        <v>6</v>
      </c>
      <c r="E9" s="7" t="s">
        <v>31</v>
      </c>
      <c r="F9" s="7" t="s">
        <v>4</v>
      </c>
      <c r="G9" s="7">
        <v>2026</v>
      </c>
      <c r="H9" s="8">
        <v>3190009</v>
      </c>
      <c r="I9" s="8">
        <v>8674613</v>
      </c>
      <c r="J9" s="7">
        <v>14</v>
      </c>
      <c r="K9" s="7">
        <v>16</v>
      </c>
      <c r="L9" s="8">
        <f t="shared" si="0"/>
        <v>5484604</v>
      </c>
      <c r="M9" s="10">
        <f t="shared" si="1"/>
        <v>0.63225921433036836</v>
      </c>
      <c r="N9" s="10">
        <f t="shared" si="2"/>
        <v>0.875</v>
      </c>
      <c r="P9" s="1"/>
    </row>
    <row r="10" spans="1:16" x14ac:dyDescent="0.3">
      <c r="A10" s="7" t="s">
        <v>1</v>
      </c>
      <c r="B10" s="7" t="s">
        <v>34</v>
      </c>
      <c r="C10" s="7" t="s">
        <v>36</v>
      </c>
      <c r="D10" s="7" t="s">
        <v>6</v>
      </c>
      <c r="E10" s="7" t="s">
        <v>32</v>
      </c>
      <c r="F10" s="7" t="s">
        <v>4</v>
      </c>
      <c r="G10" s="7">
        <v>2026</v>
      </c>
      <c r="H10" s="8">
        <v>3442649</v>
      </c>
      <c r="I10" s="8">
        <v>9070797</v>
      </c>
      <c r="J10" s="7">
        <v>5</v>
      </c>
      <c r="K10" s="7">
        <v>5</v>
      </c>
      <c r="L10" s="8">
        <f t="shared" si="0"/>
        <v>5628148</v>
      </c>
      <c r="M10" s="10">
        <f t="shared" si="1"/>
        <v>0.62046896209892033</v>
      </c>
      <c r="N10" s="10">
        <f t="shared" si="2"/>
        <v>1</v>
      </c>
    </row>
    <row r="11" spans="1:16" x14ac:dyDescent="0.3">
      <c r="A11" s="7" t="s">
        <v>1</v>
      </c>
      <c r="B11" s="7" t="s">
        <v>34</v>
      </c>
      <c r="C11" s="7" t="s">
        <v>36</v>
      </c>
      <c r="D11" s="7" t="s">
        <v>5</v>
      </c>
      <c r="E11" s="7" t="s">
        <v>33</v>
      </c>
      <c r="F11" s="7" t="s">
        <v>4</v>
      </c>
      <c r="G11" s="7">
        <v>2026</v>
      </c>
      <c r="H11" s="8">
        <v>3475275</v>
      </c>
      <c r="I11" s="8">
        <v>8994585</v>
      </c>
      <c r="J11" s="7">
        <v>20</v>
      </c>
      <c r="K11" s="7">
        <v>25</v>
      </c>
      <c r="L11" s="8">
        <f t="shared" si="0"/>
        <v>5519310</v>
      </c>
      <c r="M11" s="10">
        <f t="shared" si="1"/>
        <v>0.61362586489537874</v>
      </c>
      <c r="N11" s="10">
        <f t="shared" si="2"/>
        <v>0.8</v>
      </c>
    </row>
    <row r="12" spans="1:16" x14ac:dyDescent="0.3">
      <c r="A12" s="7" t="s">
        <v>1</v>
      </c>
      <c r="B12" s="7" t="s">
        <v>34</v>
      </c>
      <c r="C12" s="7" t="s">
        <v>37</v>
      </c>
      <c r="D12" s="7" t="s">
        <v>6</v>
      </c>
      <c r="E12" s="7" t="s">
        <v>29</v>
      </c>
      <c r="F12" s="7" t="s">
        <v>4</v>
      </c>
      <c r="G12" s="7">
        <v>2026</v>
      </c>
      <c r="H12" s="8">
        <v>3508173</v>
      </c>
      <c r="I12" s="8">
        <v>8762992</v>
      </c>
      <c r="J12" s="7">
        <v>14</v>
      </c>
      <c r="K12" s="7">
        <v>17</v>
      </c>
      <c r="L12" s="8">
        <f t="shared" si="0"/>
        <v>5254819</v>
      </c>
      <c r="M12" s="10">
        <f t="shared" si="1"/>
        <v>0.59966036714400739</v>
      </c>
      <c r="N12" s="10">
        <f t="shared" si="2"/>
        <v>0.82352941176470584</v>
      </c>
    </row>
    <row r="13" spans="1:16" x14ac:dyDescent="0.3">
      <c r="A13" s="7" t="s">
        <v>1</v>
      </c>
      <c r="B13" s="7" t="s">
        <v>34</v>
      </c>
      <c r="C13" s="7" t="s">
        <v>37</v>
      </c>
      <c r="D13" s="7" t="s">
        <v>6</v>
      </c>
      <c r="E13" s="7" t="s">
        <v>30</v>
      </c>
      <c r="F13" s="7" t="s">
        <v>4</v>
      </c>
      <c r="G13" s="7">
        <v>2026</v>
      </c>
      <c r="H13" s="8">
        <v>2534102</v>
      </c>
      <c r="I13" s="8">
        <v>9072551</v>
      </c>
      <c r="J13" s="7">
        <v>4</v>
      </c>
      <c r="K13" s="7">
        <v>5</v>
      </c>
      <c r="L13" s="8">
        <f t="shared" si="0"/>
        <v>6538449</v>
      </c>
      <c r="M13" s="10">
        <f t="shared" si="1"/>
        <v>0.72068473354407159</v>
      </c>
      <c r="N13" s="10">
        <f t="shared" si="2"/>
        <v>0.8</v>
      </c>
    </row>
    <row r="14" spans="1:16" x14ac:dyDescent="0.3">
      <c r="A14" s="7" t="s">
        <v>1</v>
      </c>
      <c r="B14" s="7" t="s">
        <v>34</v>
      </c>
      <c r="C14" s="7" t="s">
        <v>37</v>
      </c>
      <c r="D14" s="7" t="s">
        <v>6</v>
      </c>
      <c r="E14" s="7" t="s">
        <v>31</v>
      </c>
      <c r="F14" s="7" t="s">
        <v>4</v>
      </c>
      <c r="G14" s="7">
        <v>2026</v>
      </c>
      <c r="H14" s="8">
        <v>5130016</v>
      </c>
      <c r="I14" s="8">
        <v>9165877</v>
      </c>
      <c r="J14" s="7">
        <v>5</v>
      </c>
      <c r="K14" s="7">
        <v>6</v>
      </c>
      <c r="L14" s="8">
        <f t="shared" si="0"/>
        <v>4035861</v>
      </c>
      <c r="M14" s="10">
        <f t="shared" si="1"/>
        <v>0.44031367647634811</v>
      </c>
      <c r="N14" s="10">
        <f t="shared" si="2"/>
        <v>0.83333333333333337</v>
      </c>
    </row>
    <row r="15" spans="1:16" x14ac:dyDescent="0.3">
      <c r="A15" s="7" t="s">
        <v>1</v>
      </c>
      <c r="B15" s="7" t="s">
        <v>34</v>
      </c>
      <c r="C15" s="7" t="s">
        <v>37</v>
      </c>
      <c r="D15" s="7" t="s">
        <v>6</v>
      </c>
      <c r="E15" s="7" t="s">
        <v>32</v>
      </c>
      <c r="F15" s="7" t="s">
        <v>4</v>
      </c>
      <c r="G15" s="7">
        <v>2026</v>
      </c>
      <c r="H15" s="8">
        <v>5953512</v>
      </c>
      <c r="I15" s="8">
        <v>8586905</v>
      </c>
      <c r="J15" s="7">
        <v>6</v>
      </c>
      <c r="K15" s="7">
        <v>6</v>
      </c>
      <c r="L15" s="8">
        <f t="shared" si="0"/>
        <v>2633393</v>
      </c>
      <c r="M15" s="10">
        <f t="shared" si="1"/>
        <v>0.30667545524260487</v>
      </c>
      <c r="N15" s="10">
        <f t="shared" si="2"/>
        <v>1</v>
      </c>
    </row>
    <row r="16" spans="1:16" x14ac:dyDescent="0.3">
      <c r="A16" s="7" t="s">
        <v>1</v>
      </c>
      <c r="B16" s="7" t="s">
        <v>34</v>
      </c>
      <c r="C16" s="7" t="s">
        <v>37</v>
      </c>
      <c r="D16" s="7" t="s">
        <v>5</v>
      </c>
      <c r="E16" s="7" t="s">
        <v>33</v>
      </c>
      <c r="F16" s="7" t="s">
        <v>4</v>
      </c>
      <c r="G16" s="7">
        <v>2026</v>
      </c>
      <c r="H16" s="8">
        <v>4170710</v>
      </c>
      <c r="I16" s="8">
        <v>8848636</v>
      </c>
      <c r="J16" s="7">
        <v>9</v>
      </c>
      <c r="K16" s="7">
        <v>14</v>
      </c>
      <c r="L16" s="8">
        <f t="shared" si="0"/>
        <v>4677926</v>
      </c>
      <c r="M16" s="10">
        <f t="shared" si="1"/>
        <v>0.52866068849481429</v>
      </c>
      <c r="N16" s="10">
        <f t="shared" si="2"/>
        <v>0.6428571428571429</v>
      </c>
    </row>
    <row r="17" spans="1:14" x14ac:dyDescent="0.3">
      <c r="A17" s="7" t="s">
        <v>11</v>
      </c>
      <c r="B17" s="7" t="s">
        <v>13</v>
      </c>
      <c r="C17" s="7" t="s">
        <v>39</v>
      </c>
      <c r="D17" s="7" t="s">
        <v>6</v>
      </c>
      <c r="E17" s="7" t="s">
        <v>29</v>
      </c>
      <c r="F17" s="7" t="s">
        <v>4</v>
      </c>
      <c r="G17" s="7">
        <v>2026</v>
      </c>
      <c r="H17" s="8">
        <v>3472986</v>
      </c>
      <c r="I17" s="8">
        <v>9125362</v>
      </c>
      <c r="J17" s="9" t="s">
        <v>7</v>
      </c>
      <c r="K17" s="7">
        <v>17</v>
      </c>
      <c r="L17" s="8">
        <f t="shared" si="0"/>
        <v>5652376</v>
      </c>
      <c r="M17" s="10">
        <f t="shared" si="1"/>
        <v>0.61941389284063475</v>
      </c>
      <c r="N17" s="10">
        <f t="shared" si="2"/>
        <v>0</v>
      </c>
    </row>
    <row r="18" spans="1:14" x14ac:dyDescent="0.3">
      <c r="A18" s="7" t="s">
        <v>11</v>
      </c>
      <c r="B18" s="7" t="s">
        <v>13</v>
      </c>
      <c r="C18" s="7" t="s">
        <v>39</v>
      </c>
      <c r="D18" s="7" t="s">
        <v>6</v>
      </c>
      <c r="E18" s="7" t="s">
        <v>30</v>
      </c>
      <c r="F18" s="7" t="s">
        <v>4</v>
      </c>
      <c r="G18" s="7">
        <v>2026</v>
      </c>
      <c r="H18" s="8">
        <v>3478794</v>
      </c>
      <c r="I18" s="8">
        <v>8846264</v>
      </c>
      <c r="J18" s="9" t="s">
        <v>7</v>
      </c>
      <c r="K18" s="7">
        <v>16</v>
      </c>
      <c r="L18" s="8">
        <f t="shared" si="0"/>
        <v>5367470</v>
      </c>
      <c r="M18" s="10">
        <f t="shared" si="1"/>
        <v>0.60674992290530783</v>
      </c>
      <c r="N18" s="10">
        <f t="shared" si="2"/>
        <v>0</v>
      </c>
    </row>
    <row r="19" spans="1:14" x14ac:dyDescent="0.3">
      <c r="A19" s="7" t="s">
        <v>11</v>
      </c>
      <c r="B19" s="7" t="s">
        <v>13</v>
      </c>
      <c r="C19" s="7" t="s">
        <v>39</v>
      </c>
      <c r="D19" s="7" t="s">
        <v>6</v>
      </c>
      <c r="E19" s="7" t="s">
        <v>31</v>
      </c>
      <c r="F19" s="7" t="s">
        <v>4</v>
      </c>
      <c r="G19" s="7">
        <v>2026</v>
      </c>
      <c r="H19" s="8">
        <v>4413449</v>
      </c>
      <c r="I19" s="8">
        <v>8547257</v>
      </c>
      <c r="J19" s="9" t="s">
        <v>7</v>
      </c>
      <c r="K19" s="7">
        <v>18</v>
      </c>
      <c r="L19" s="8">
        <f t="shared" si="0"/>
        <v>4133808</v>
      </c>
      <c r="M19" s="10">
        <f t="shared" si="1"/>
        <v>0.48364147702590432</v>
      </c>
      <c r="N19" s="10">
        <f t="shared" si="2"/>
        <v>0</v>
      </c>
    </row>
    <row r="20" spans="1:14" x14ac:dyDescent="0.3">
      <c r="A20" s="7" t="s">
        <v>11</v>
      </c>
      <c r="B20" s="7" t="s">
        <v>13</v>
      </c>
      <c r="C20" s="7" t="s">
        <v>39</v>
      </c>
      <c r="D20" s="7" t="s">
        <v>6</v>
      </c>
      <c r="E20" s="7" t="s">
        <v>32</v>
      </c>
      <c r="F20" s="7" t="s">
        <v>4</v>
      </c>
      <c r="G20" s="7">
        <v>2026</v>
      </c>
      <c r="H20" s="8">
        <v>3440225</v>
      </c>
      <c r="I20" s="8">
        <v>8761979</v>
      </c>
      <c r="J20" s="9" t="s">
        <v>7</v>
      </c>
      <c r="K20" s="7">
        <v>16</v>
      </c>
      <c r="L20" s="8">
        <f t="shared" si="0"/>
        <v>5321754</v>
      </c>
      <c r="M20" s="10">
        <f t="shared" si="1"/>
        <v>0.6073689516945886</v>
      </c>
      <c r="N20" s="10">
        <f t="shared" si="2"/>
        <v>0</v>
      </c>
    </row>
    <row r="21" spans="1:14" x14ac:dyDescent="0.3">
      <c r="A21" s="7" t="s">
        <v>11</v>
      </c>
      <c r="B21" s="7" t="s">
        <v>13</v>
      </c>
      <c r="C21" s="7" t="s">
        <v>39</v>
      </c>
      <c r="D21" s="7" t="s">
        <v>5</v>
      </c>
      <c r="E21" s="7" t="s">
        <v>33</v>
      </c>
      <c r="F21" s="7" t="s">
        <v>4</v>
      </c>
      <c r="G21" s="7">
        <v>2026</v>
      </c>
      <c r="H21" s="8">
        <v>2900355</v>
      </c>
      <c r="I21" s="8">
        <v>8979944</v>
      </c>
      <c r="J21" s="9" t="s">
        <v>7</v>
      </c>
      <c r="K21" s="7">
        <v>18</v>
      </c>
      <c r="L21" s="8">
        <f t="shared" si="0"/>
        <v>6079589</v>
      </c>
      <c r="M21" s="10">
        <f t="shared" si="1"/>
        <v>0.67701858719831665</v>
      </c>
      <c r="N21" s="10">
        <f t="shared" si="2"/>
        <v>0</v>
      </c>
    </row>
    <row r="22" spans="1:14" x14ac:dyDescent="0.3">
      <c r="A22" s="7" t="s">
        <v>1</v>
      </c>
      <c r="B22" s="7" t="s">
        <v>2</v>
      </c>
      <c r="C22" s="7" t="s">
        <v>40</v>
      </c>
      <c r="D22" s="7" t="s">
        <v>6</v>
      </c>
      <c r="E22" s="7" t="s">
        <v>29</v>
      </c>
      <c r="F22" s="7" t="s">
        <v>4</v>
      </c>
      <c r="G22" s="7">
        <v>2026</v>
      </c>
      <c r="H22" s="8">
        <v>5505123</v>
      </c>
      <c r="I22" s="8">
        <v>9088011</v>
      </c>
      <c r="J22" s="7">
        <v>7</v>
      </c>
      <c r="K22" s="7">
        <v>8</v>
      </c>
      <c r="L22" s="8">
        <f t="shared" si="0"/>
        <v>3582888</v>
      </c>
      <c r="M22" s="10">
        <f t="shared" si="1"/>
        <v>0.39424336084100248</v>
      </c>
      <c r="N22" s="10">
        <f t="shared" si="2"/>
        <v>0.875</v>
      </c>
    </row>
    <row r="23" spans="1:14" x14ac:dyDescent="0.3">
      <c r="A23" s="7" t="s">
        <v>1</v>
      </c>
      <c r="B23" s="7" t="s">
        <v>2</v>
      </c>
      <c r="C23" s="7" t="s">
        <v>40</v>
      </c>
      <c r="D23" s="7" t="s">
        <v>6</v>
      </c>
      <c r="E23" s="7" t="s">
        <v>30</v>
      </c>
      <c r="F23" s="7" t="s">
        <v>4</v>
      </c>
      <c r="G23" s="7">
        <v>2026</v>
      </c>
      <c r="H23" s="8">
        <v>2548471</v>
      </c>
      <c r="I23" s="8">
        <v>9025609</v>
      </c>
      <c r="J23" s="7">
        <v>20</v>
      </c>
      <c r="K23" s="7">
        <v>21</v>
      </c>
      <c r="L23" s="8">
        <f t="shared" si="0"/>
        <v>6477138</v>
      </c>
      <c r="M23" s="10">
        <f t="shared" si="1"/>
        <v>0.71763999526236955</v>
      </c>
      <c r="N23" s="10">
        <f t="shared" si="2"/>
        <v>0.95238095238095233</v>
      </c>
    </row>
    <row r="24" spans="1:14" x14ac:dyDescent="0.3">
      <c r="A24" s="7" t="s">
        <v>1</v>
      </c>
      <c r="B24" s="7" t="s">
        <v>2</v>
      </c>
      <c r="C24" s="7" t="s">
        <v>40</v>
      </c>
      <c r="D24" s="7" t="s">
        <v>6</v>
      </c>
      <c r="E24" s="7" t="s">
        <v>31</v>
      </c>
      <c r="F24" s="7" t="s">
        <v>4</v>
      </c>
      <c r="G24" s="7">
        <v>2026</v>
      </c>
      <c r="H24" s="8">
        <v>5869643</v>
      </c>
      <c r="I24" s="8">
        <v>8802862</v>
      </c>
      <c r="J24" s="7">
        <v>4</v>
      </c>
      <c r="K24" s="7">
        <v>6</v>
      </c>
      <c r="L24" s="8">
        <f t="shared" si="0"/>
        <v>2933219</v>
      </c>
      <c r="M24" s="10">
        <f t="shared" si="1"/>
        <v>0.33321197128842872</v>
      </c>
      <c r="N24" s="10">
        <f t="shared" si="2"/>
        <v>0.66666666666666663</v>
      </c>
    </row>
    <row r="25" spans="1:14" x14ac:dyDescent="0.3">
      <c r="A25" s="7" t="s">
        <v>1</v>
      </c>
      <c r="B25" s="7" t="s">
        <v>2</v>
      </c>
      <c r="C25" s="7" t="s">
        <v>40</v>
      </c>
      <c r="D25" s="7" t="s">
        <v>6</v>
      </c>
      <c r="E25" s="7" t="s">
        <v>32</v>
      </c>
      <c r="F25" s="7" t="s">
        <v>4</v>
      </c>
      <c r="G25" s="7">
        <v>2026</v>
      </c>
      <c r="H25" s="8">
        <v>5974815</v>
      </c>
      <c r="I25" s="8">
        <v>8973631</v>
      </c>
      <c r="J25" s="7">
        <v>8</v>
      </c>
      <c r="K25" s="7">
        <v>10</v>
      </c>
      <c r="L25" s="8">
        <f t="shared" si="0"/>
        <v>2998816</v>
      </c>
      <c r="M25" s="10">
        <f t="shared" si="1"/>
        <v>0.33418089065619033</v>
      </c>
      <c r="N25" s="10">
        <f t="shared" si="2"/>
        <v>0.8</v>
      </c>
    </row>
    <row r="26" spans="1:14" x14ac:dyDescent="0.3">
      <c r="A26" s="7" t="s">
        <v>1</v>
      </c>
      <c r="B26" s="7" t="s">
        <v>2</v>
      </c>
      <c r="C26" s="7" t="s">
        <v>40</v>
      </c>
      <c r="D26" s="7" t="s">
        <v>5</v>
      </c>
      <c r="E26" s="7" t="s">
        <v>33</v>
      </c>
      <c r="F26" s="7" t="s">
        <v>4</v>
      </c>
      <c r="G26" s="7">
        <v>2026</v>
      </c>
      <c r="H26" s="8">
        <v>3814857</v>
      </c>
      <c r="I26" s="8">
        <v>8529903</v>
      </c>
      <c r="J26" s="7">
        <v>15</v>
      </c>
      <c r="K26" s="7">
        <v>17</v>
      </c>
      <c r="L26" s="8">
        <f t="shared" si="0"/>
        <v>4715046</v>
      </c>
      <c r="M26" s="10">
        <f t="shared" si="1"/>
        <v>0.55276666100423422</v>
      </c>
      <c r="N26" s="10">
        <f t="shared" si="2"/>
        <v>0.88235294117647056</v>
      </c>
    </row>
    <row r="27" spans="1:14" x14ac:dyDescent="0.3">
      <c r="A27" s="7" t="s">
        <v>11</v>
      </c>
      <c r="B27" s="7" t="s">
        <v>13</v>
      </c>
      <c r="C27" s="7" t="s">
        <v>41</v>
      </c>
      <c r="D27" s="7" t="s">
        <v>6</v>
      </c>
      <c r="E27" s="7" t="s">
        <v>29</v>
      </c>
      <c r="F27" s="7" t="s">
        <v>4</v>
      </c>
      <c r="G27" s="7">
        <v>2026</v>
      </c>
      <c r="H27" s="8">
        <v>2871386</v>
      </c>
      <c r="I27" s="8">
        <v>8694563</v>
      </c>
      <c r="J27" s="9" t="s">
        <v>7</v>
      </c>
      <c r="K27" s="7">
        <v>20</v>
      </c>
      <c r="L27" s="8">
        <f t="shared" si="0"/>
        <v>5823177</v>
      </c>
      <c r="M27" s="10">
        <f t="shared" si="1"/>
        <v>0.66974924444161255</v>
      </c>
      <c r="N27" s="10">
        <f t="shared" si="2"/>
        <v>0</v>
      </c>
    </row>
    <row r="28" spans="1:14" x14ac:dyDescent="0.3">
      <c r="A28" s="7" t="s">
        <v>11</v>
      </c>
      <c r="B28" s="7" t="s">
        <v>13</v>
      </c>
      <c r="C28" s="7" t="s">
        <v>41</v>
      </c>
      <c r="D28" s="7" t="s">
        <v>6</v>
      </c>
      <c r="E28" s="7" t="s">
        <v>30</v>
      </c>
      <c r="F28" s="7" t="s">
        <v>4</v>
      </c>
      <c r="G28" s="7">
        <v>2026</v>
      </c>
      <c r="H28" s="8">
        <v>3201907</v>
      </c>
      <c r="I28" s="8">
        <v>8800186</v>
      </c>
      <c r="J28" s="9" t="s">
        <v>7</v>
      </c>
      <c r="K28" s="7">
        <v>16</v>
      </c>
      <c r="L28" s="8">
        <f t="shared" si="0"/>
        <v>5598279</v>
      </c>
      <c r="M28" s="10">
        <f t="shared" si="1"/>
        <v>0.63615462218639474</v>
      </c>
      <c r="N28" s="10">
        <f t="shared" si="2"/>
        <v>0</v>
      </c>
    </row>
    <row r="29" spans="1:14" x14ac:dyDescent="0.3">
      <c r="A29" s="7" t="s">
        <v>11</v>
      </c>
      <c r="B29" s="7" t="s">
        <v>13</v>
      </c>
      <c r="C29" s="7" t="s">
        <v>41</v>
      </c>
      <c r="D29" s="7" t="s">
        <v>6</v>
      </c>
      <c r="E29" s="7" t="s">
        <v>31</v>
      </c>
      <c r="F29" s="7" t="s">
        <v>4</v>
      </c>
      <c r="G29" s="7">
        <v>2026</v>
      </c>
      <c r="H29" s="8">
        <v>5609775</v>
      </c>
      <c r="I29" s="8">
        <v>9084256</v>
      </c>
      <c r="J29" s="9" t="s">
        <v>7</v>
      </c>
      <c r="K29" s="7">
        <v>16</v>
      </c>
      <c r="L29" s="8">
        <f t="shared" si="0"/>
        <v>3474481</v>
      </c>
      <c r="M29" s="10">
        <f t="shared" si="1"/>
        <v>0.3824728189077895</v>
      </c>
      <c r="N29" s="10">
        <f t="shared" si="2"/>
        <v>0</v>
      </c>
    </row>
    <row r="30" spans="1:14" x14ac:dyDescent="0.3">
      <c r="A30" s="7" t="s">
        <v>11</v>
      </c>
      <c r="B30" s="7" t="s">
        <v>13</v>
      </c>
      <c r="C30" s="7" t="s">
        <v>41</v>
      </c>
      <c r="D30" s="7" t="s">
        <v>6</v>
      </c>
      <c r="E30" s="7" t="s">
        <v>32</v>
      </c>
      <c r="F30" s="7" t="s">
        <v>4</v>
      </c>
      <c r="G30" s="7">
        <v>2026</v>
      </c>
      <c r="H30" s="8">
        <v>5044306</v>
      </c>
      <c r="I30" s="8">
        <v>8752182</v>
      </c>
      <c r="J30" s="9" t="s">
        <v>7</v>
      </c>
      <c r="K30" s="7">
        <v>18</v>
      </c>
      <c r="L30" s="8">
        <f t="shared" si="0"/>
        <v>3707876</v>
      </c>
      <c r="M30" s="10">
        <f t="shared" si="1"/>
        <v>0.42365161053552131</v>
      </c>
      <c r="N30" s="10">
        <f t="shared" si="2"/>
        <v>0</v>
      </c>
    </row>
    <row r="31" spans="1:14" x14ac:dyDescent="0.3">
      <c r="A31" s="7" t="s">
        <v>11</v>
      </c>
      <c r="B31" s="7" t="s">
        <v>13</v>
      </c>
      <c r="C31" s="7" t="s">
        <v>41</v>
      </c>
      <c r="D31" s="7" t="s">
        <v>5</v>
      </c>
      <c r="E31" s="7" t="s">
        <v>33</v>
      </c>
      <c r="F31" s="7" t="s">
        <v>4</v>
      </c>
      <c r="G31" s="7">
        <v>2026</v>
      </c>
      <c r="H31" s="8">
        <v>2931685</v>
      </c>
      <c r="I31" s="8">
        <v>8971678</v>
      </c>
      <c r="J31" s="9" t="s">
        <v>7</v>
      </c>
      <c r="K31" s="7">
        <v>20</v>
      </c>
      <c r="L31" s="8">
        <f t="shared" si="0"/>
        <v>6039993</v>
      </c>
      <c r="M31" s="10">
        <f t="shared" si="1"/>
        <v>0.6732289099096066</v>
      </c>
      <c r="N31" s="10">
        <f t="shared" si="2"/>
        <v>0</v>
      </c>
    </row>
    <row r="32" spans="1:14" x14ac:dyDescent="0.3">
      <c r="A32" s="7" t="s">
        <v>11</v>
      </c>
      <c r="B32" s="7" t="s">
        <v>13</v>
      </c>
      <c r="C32" s="7" t="s">
        <v>42</v>
      </c>
      <c r="D32" s="7" t="s">
        <v>6</v>
      </c>
      <c r="E32" s="7" t="s">
        <v>29</v>
      </c>
      <c r="F32" s="7" t="s">
        <v>4</v>
      </c>
      <c r="G32" s="7">
        <v>2026</v>
      </c>
      <c r="H32" s="8">
        <v>3730999</v>
      </c>
      <c r="I32" s="8">
        <v>8715081</v>
      </c>
      <c r="J32" s="9" t="s">
        <v>7</v>
      </c>
      <c r="K32" s="7">
        <v>19</v>
      </c>
      <c r="L32" s="8">
        <f t="shared" si="0"/>
        <v>4984082</v>
      </c>
      <c r="M32" s="10">
        <f t="shared" si="1"/>
        <v>0.57189164392161129</v>
      </c>
      <c r="N32" s="10">
        <f t="shared" si="2"/>
        <v>0</v>
      </c>
    </row>
    <row r="33" spans="1:14" x14ac:dyDescent="0.3">
      <c r="A33" s="7" t="s">
        <v>11</v>
      </c>
      <c r="B33" s="7" t="s">
        <v>13</v>
      </c>
      <c r="C33" s="7" t="s">
        <v>42</v>
      </c>
      <c r="D33" s="7" t="s">
        <v>6</v>
      </c>
      <c r="E33" s="7" t="s">
        <v>30</v>
      </c>
      <c r="F33" s="7" t="s">
        <v>4</v>
      </c>
      <c r="G33" s="7">
        <v>2026</v>
      </c>
      <c r="H33" s="8">
        <v>4502248</v>
      </c>
      <c r="I33" s="8">
        <v>9011638</v>
      </c>
      <c r="J33" s="9" t="s">
        <v>7</v>
      </c>
      <c r="K33" s="7">
        <v>18</v>
      </c>
      <c r="L33" s="8">
        <f t="shared" si="0"/>
        <v>4509390</v>
      </c>
      <c r="M33" s="10">
        <f t="shared" si="1"/>
        <v>0.50039626536263437</v>
      </c>
      <c r="N33" s="10">
        <f t="shared" si="2"/>
        <v>0</v>
      </c>
    </row>
    <row r="34" spans="1:14" x14ac:dyDescent="0.3">
      <c r="A34" s="7" t="s">
        <v>11</v>
      </c>
      <c r="B34" s="7" t="s">
        <v>13</v>
      </c>
      <c r="C34" s="7" t="s">
        <v>42</v>
      </c>
      <c r="D34" s="7" t="s">
        <v>6</v>
      </c>
      <c r="E34" s="7" t="s">
        <v>31</v>
      </c>
      <c r="F34" s="7" t="s">
        <v>4</v>
      </c>
      <c r="G34" s="7">
        <v>2026</v>
      </c>
      <c r="H34" s="8">
        <v>2450782</v>
      </c>
      <c r="I34" s="8">
        <v>8470209</v>
      </c>
      <c r="J34" s="9" t="s">
        <v>7</v>
      </c>
      <c r="K34" s="7">
        <v>16</v>
      </c>
      <c r="L34" s="8">
        <f t="shared" ref="L34:L65" si="3">IFERROR(I34-H34, 0)</f>
        <v>6019427</v>
      </c>
      <c r="M34" s="10">
        <f t="shared" ref="M34:M65" si="4">IFERROR(L34/I34,0)</f>
        <v>0.71065861538953756</v>
      </c>
      <c r="N34" s="10">
        <f t="shared" ref="N34:N65" si="5">IFERROR((J34/K34),0)</f>
        <v>0</v>
      </c>
    </row>
    <row r="35" spans="1:14" x14ac:dyDescent="0.3">
      <c r="A35" s="7" t="s">
        <v>11</v>
      </c>
      <c r="B35" s="7" t="s">
        <v>13</v>
      </c>
      <c r="C35" s="7" t="s">
        <v>42</v>
      </c>
      <c r="D35" s="7" t="s">
        <v>6</v>
      </c>
      <c r="E35" s="7" t="s">
        <v>32</v>
      </c>
      <c r="F35" s="7" t="s">
        <v>4</v>
      </c>
      <c r="G35" s="7">
        <v>2026</v>
      </c>
      <c r="H35" s="8">
        <v>3718103</v>
      </c>
      <c r="I35" s="8">
        <v>9127150</v>
      </c>
      <c r="J35" s="9" t="s">
        <v>7</v>
      </c>
      <c r="K35" s="7">
        <v>17</v>
      </c>
      <c r="L35" s="8">
        <f t="shared" si="3"/>
        <v>5409047</v>
      </c>
      <c r="M35" s="10">
        <f t="shared" si="4"/>
        <v>0.59263263998071691</v>
      </c>
      <c r="N35" s="10">
        <f t="shared" si="5"/>
        <v>0</v>
      </c>
    </row>
    <row r="36" spans="1:14" x14ac:dyDescent="0.3">
      <c r="A36" s="7" t="s">
        <v>11</v>
      </c>
      <c r="B36" s="7" t="s">
        <v>13</v>
      </c>
      <c r="C36" s="7" t="s">
        <v>42</v>
      </c>
      <c r="D36" s="7" t="s">
        <v>5</v>
      </c>
      <c r="E36" s="7" t="s">
        <v>33</v>
      </c>
      <c r="F36" s="7" t="s">
        <v>4</v>
      </c>
      <c r="G36" s="7">
        <v>2026</v>
      </c>
      <c r="H36" s="8">
        <v>5913478</v>
      </c>
      <c r="I36" s="8">
        <v>9096409</v>
      </c>
      <c r="J36" s="9" t="s">
        <v>7</v>
      </c>
      <c r="K36" s="7">
        <v>20</v>
      </c>
      <c r="L36" s="8">
        <f t="shared" si="3"/>
        <v>3182931</v>
      </c>
      <c r="M36" s="10">
        <f t="shared" si="4"/>
        <v>0.34991071751501057</v>
      </c>
      <c r="N36" s="10">
        <f t="shared" si="5"/>
        <v>0</v>
      </c>
    </row>
    <row r="37" spans="1:14" x14ac:dyDescent="0.3">
      <c r="A37" s="7" t="s">
        <v>1</v>
      </c>
      <c r="B37" s="7" t="s">
        <v>2</v>
      </c>
      <c r="C37" s="7" t="s">
        <v>43</v>
      </c>
      <c r="D37" s="7" t="s">
        <v>6</v>
      </c>
      <c r="E37" s="7" t="s">
        <v>29</v>
      </c>
      <c r="F37" s="7" t="s">
        <v>4</v>
      </c>
      <c r="G37" s="7">
        <v>2026</v>
      </c>
      <c r="H37" s="8">
        <v>2631019</v>
      </c>
      <c r="I37" s="8">
        <v>8584025</v>
      </c>
      <c r="J37" s="7">
        <v>14</v>
      </c>
      <c r="K37" s="7">
        <v>19</v>
      </c>
      <c r="L37" s="8">
        <f t="shared" si="3"/>
        <v>5953006</v>
      </c>
      <c r="M37" s="10">
        <f t="shared" si="4"/>
        <v>0.69349821325077687</v>
      </c>
      <c r="N37" s="10">
        <f t="shared" si="5"/>
        <v>0.73684210526315785</v>
      </c>
    </row>
    <row r="38" spans="1:14" x14ac:dyDescent="0.3">
      <c r="A38" s="7" t="s">
        <v>1</v>
      </c>
      <c r="B38" s="7" t="s">
        <v>2</v>
      </c>
      <c r="C38" s="7" t="s">
        <v>43</v>
      </c>
      <c r="D38" s="7" t="s">
        <v>6</v>
      </c>
      <c r="E38" s="7" t="s">
        <v>30</v>
      </c>
      <c r="F38" s="7" t="s">
        <v>4</v>
      </c>
      <c r="G38" s="7">
        <v>2026</v>
      </c>
      <c r="H38" s="8">
        <v>5859707</v>
      </c>
      <c r="I38" s="8">
        <v>8697391</v>
      </c>
      <c r="J38" s="7">
        <v>5</v>
      </c>
      <c r="K38" s="7">
        <v>5</v>
      </c>
      <c r="L38" s="8">
        <f t="shared" si="3"/>
        <v>2837684</v>
      </c>
      <c r="M38" s="10">
        <f t="shared" si="4"/>
        <v>0.32626841773584747</v>
      </c>
      <c r="N38" s="10">
        <f t="shared" si="5"/>
        <v>1</v>
      </c>
    </row>
    <row r="39" spans="1:14" x14ac:dyDescent="0.3">
      <c r="A39" s="7" t="s">
        <v>1</v>
      </c>
      <c r="B39" s="7" t="s">
        <v>2</v>
      </c>
      <c r="C39" s="7" t="s">
        <v>43</v>
      </c>
      <c r="D39" s="7" t="s">
        <v>6</v>
      </c>
      <c r="E39" s="7" t="s">
        <v>31</v>
      </c>
      <c r="F39" s="7" t="s">
        <v>4</v>
      </c>
      <c r="G39" s="7">
        <v>2026</v>
      </c>
      <c r="H39" s="8">
        <v>4172827</v>
      </c>
      <c r="I39" s="8">
        <v>8942009</v>
      </c>
      <c r="J39" s="7">
        <v>10</v>
      </c>
      <c r="K39" s="7">
        <v>15</v>
      </c>
      <c r="L39" s="8">
        <f t="shared" si="3"/>
        <v>4769182</v>
      </c>
      <c r="M39" s="10">
        <f t="shared" si="4"/>
        <v>0.53334569446306757</v>
      </c>
      <c r="N39" s="10">
        <f t="shared" si="5"/>
        <v>0.66666666666666663</v>
      </c>
    </row>
    <row r="40" spans="1:14" x14ac:dyDescent="0.3">
      <c r="A40" s="7" t="s">
        <v>1</v>
      </c>
      <c r="B40" s="7" t="s">
        <v>2</v>
      </c>
      <c r="C40" s="7" t="s">
        <v>43</v>
      </c>
      <c r="D40" s="7" t="s">
        <v>6</v>
      </c>
      <c r="E40" s="7" t="s">
        <v>32</v>
      </c>
      <c r="F40" s="7" t="s">
        <v>4</v>
      </c>
      <c r="G40" s="7">
        <v>2026</v>
      </c>
      <c r="H40" s="8">
        <v>4249668</v>
      </c>
      <c r="I40" s="8">
        <v>8548973</v>
      </c>
      <c r="J40" s="7">
        <v>9</v>
      </c>
      <c r="K40" s="7">
        <v>13</v>
      </c>
      <c r="L40" s="8">
        <f t="shared" si="3"/>
        <v>4299305</v>
      </c>
      <c r="M40" s="10">
        <f t="shared" si="4"/>
        <v>0.50290309724922511</v>
      </c>
      <c r="N40" s="10">
        <f t="shared" si="5"/>
        <v>0.69230769230769229</v>
      </c>
    </row>
    <row r="41" spans="1:14" x14ac:dyDescent="0.3">
      <c r="A41" s="7" t="s">
        <v>1</v>
      </c>
      <c r="B41" s="7" t="s">
        <v>2</v>
      </c>
      <c r="C41" s="7" t="s">
        <v>43</v>
      </c>
      <c r="D41" s="7" t="s">
        <v>5</v>
      </c>
      <c r="E41" s="7" t="s">
        <v>33</v>
      </c>
      <c r="F41" s="7" t="s">
        <v>4</v>
      </c>
      <c r="G41" s="7">
        <v>2026</v>
      </c>
      <c r="H41" s="8">
        <v>3156318</v>
      </c>
      <c r="I41" s="8">
        <v>9111026</v>
      </c>
      <c r="J41" s="7">
        <v>4</v>
      </c>
      <c r="K41" s="7">
        <v>6</v>
      </c>
      <c r="L41" s="8">
        <f t="shared" si="3"/>
        <v>5954708</v>
      </c>
      <c r="M41" s="10">
        <f t="shared" si="4"/>
        <v>0.65357161751047577</v>
      </c>
      <c r="N41" s="10">
        <f t="shared" si="5"/>
        <v>0.66666666666666663</v>
      </c>
    </row>
    <row r="42" spans="1:14" x14ac:dyDescent="0.3">
      <c r="A42" s="7" t="s">
        <v>1</v>
      </c>
      <c r="B42" s="7" t="s">
        <v>3</v>
      </c>
      <c r="C42" s="7" t="s">
        <v>44</v>
      </c>
      <c r="D42" s="7" t="s">
        <v>6</v>
      </c>
      <c r="E42" s="7" t="s">
        <v>29</v>
      </c>
      <c r="F42" s="7" t="s">
        <v>4</v>
      </c>
      <c r="G42" s="7">
        <v>2026</v>
      </c>
      <c r="H42" s="8">
        <v>3978102</v>
      </c>
      <c r="I42" s="8">
        <v>8488880</v>
      </c>
      <c r="J42" s="7">
        <v>7</v>
      </c>
      <c r="K42" s="7">
        <v>9</v>
      </c>
      <c r="L42" s="8">
        <f t="shared" si="3"/>
        <v>4510778</v>
      </c>
      <c r="M42" s="10">
        <f t="shared" si="4"/>
        <v>0.53137492814128606</v>
      </c>
      <c r="N42" s="10">
        <f t="shared" si="5"/>
        <v>0.77777777777777779</v>
      </c>
    </row>
    <row r="43" spans="1:14" x14ac:dyDescent="0.3">
      <c r="A43" s="7" t="s">
        <v>1</v>
      </c>
      <c r="B43" s="7" t="s">
        <v>3</v>
      </c>
      <c r="C43" s="7" t="s">
        <v>44</v>
      </c>
      <c r="D43" s="7" t="s">
        <v>6</v>
      </c>
      <c r="E43" s="7" t="s">
        <v>30</v>
      </c>
      <c r="F43" s="7" t="s">
        <v>4</v>
      </c>
      <c r="G43" s="7">
        <v>2026</v>
      </c>
      <c r="H43" s="8">
        <v>2745999</v>
      </c>
      <c r="I43" s="8">
        <v>8567877</v>
      </c>
      <c r="J43" s="7">
        <v>15</v>
      </c>
      <c r="K43" s="7">
        <v>17</v>
      </c>
      <c r="L43" s="8">
        <f t="shared" si="3"/>
        <v>5821878</v>
      </c>
      <c r="M43" s="10">
        <f t="shared" si="4"/>
        <v>0.67950065109478108</v>
      </c>
      <c r="N43" s="10">
        <f t="shared" si="5"/>
        <v>0.88235294117647056</v>
      </c>
    </row>
    <row r="44" spans="1:14" x14ac:dyDescent="0.3">
      <c r="A44" s="7" t="s">
        <v>1</v>
      </c>
      <c r="B44" s="7" t="s">
        <v>3</v>
      </c>
      <c r="C44" s="7" t="s">
        <v>44</v>
      </c>
      <c r="D44" s="7" t="s">
        <v>6</v>
      </c>
      <c r="E44" s="7" t="s">
        <v>31</v>
      </c>
      <c r="F44" s="7" t="s">
        <v>4</v>
      </c>
      <c r="G44" s="7">
        <v>2026</v>
      </c>
      <c r="H44" s="8">
        <v>3787473</v>
      </c>
      <c r="I44" s="8">
        <v>8726782</v>
      </c>
      <c r="J44" s="7">
        <v>4</v>
      </c>
      <c r="K44" s="7">
        <v>6</v>
      </c>
      <c r="L44" s="8">
        <f t="shared" si="3"/>
        <v>4939309</v>
      </c>
      <c r="M44" s="10">
        <f t="shared" si="4"/>
        <v>0.56599431497200225</v>
      </c>
      <c r="N44" s="10">
        <f t="shared" si="5"/>
        <v>0.66666666666666663</v>
      </c>
    </row>
    <row r="45" spans="1:14" x14ac:dyDescent="0.3">
      <c r="A45" s="7" t="s">
        <v>1</v>
      </c>
      <c r="B45" s="7" t="s">
        <v>3</v>
      </c>
      <c r="C45" s="7" t="s">
        <v>44</v>
      </c>
      <c r="D45" s="7" t="s">
        <v>6</v>
      </c>
      <c r="E45" s="7" t="s">
        <v>32</v>
      </c>
      <c r="F45" s="7" t="s">
        <v>4</v>
      </c>
      <c r="G45" s="7">
        <v>2026</v>
      </c>
      <c r="H45" s="8">
        <v>4497364</v>
      </c>
      <c r="I45" s="8">
        <v>9022111</v>
      </c>
      <c r="J45" s="7">
        <v>9</v>
      </c>
      <c r="K45" s="7">
        <v>11</v>
      </c>
      <c r="L45" s="8">
        <f t="shared" si="3"/>
        <v>4524747</v>
      </c>
      <c r="M45" s="10">
        <f t="shared" si="4"/>
        <v>0.50151754949589955</v>
      </c>
      <c r="N45" s="10">
        <f t="shared" si="5"/>
        <v>0.81818181818181823</v>
      </c>
    </row>
    <row r="46" spans="1:14" x14ac:dyDescent="0.3">
      <c r="A46" s="7" t="s">
        <v>1</v>
      </c>
      <c r="B46" s="7" t="s">
        <v>3</v>
      </c>
      <c r="C46" s="7" t="s">
        <v>44</v>
      </c>
      <c r="D46" s="7" t="s">
        <v>5</v>
      </c>
      <c r="E46" s="7" t="s">
        <v>33</v>
      </c>
      <c r="F46" s="7" t="s">
        <v>4</v>
      </c>
      <c r="G46" s="7">
        <v>2026</v>
      </c>
      <c r="H46" s="8">
        <v>5570834</v>
      </c>
      <c r="I46" s="8">
        <v>8429375</v>
      </c>
      <c r="J46" s="7">
        <v>6</v>
      </c>
      <c r="K46" s="7">
        <v>6</v>
      </c>
      <c r="L46" s="8">
        <f t="shared" si="3"/>
        <v>2858541</v>
      </c>
      <c r="M46" s="10">
        <f t="shared" si="4"/>
        <v>0.3391166011714985</v>
      </c>
      <c r="N46" s="10">
        <f t="shared" si="5"/>
        <v>1</v>
      </c>
    </row>
    <row r="47" spans="1:14" x14ac:dyDescent="0.3">
      <c r="A47" s="7" t="s">
        <v>1</v>
      </c>
      <c r="B47" s="7" t="s">
        <v>3</v>
      </c>
      <c r="C47" s="7" t="s">
        <v>45</v>
      </c>
      <c r="D47" s="7" t="s">
        <v>6</v>
      </c>
      <c r="E47" s="7" t="s">
        <v>29</v>
      </c>
      <c r="F47" s="7" t="s">
        <v>4</v>
      </c>
      <c r="G47" s="7">
        <v>2026</v>
      </c>
      <c r="H47" s="8">
        <v>3472531</v>
      </c>
      <c r="I47" s="8">
        <v>9084736</v>
      </c>
      <c r="J47" s="7">
        <v>14</v>
      </c>
      <c r="K47" s="7">
        <v>15</v>
      </c>
      <c r="L47" s="8">
        <f t="shared" si="3"/>
        <v>5612205</v>
      </c>
      <c r="M47" s="10">
        <f t="shared" si="4"/>
        <v>0.6177620351323363</v>
      </c>
      <c r="N47" s="10">
        <f t="shared" si="5"/>
        <v>0.93333333333333335</v>
      </c>
    </row>
    <row r="48" spans="1:14" x14ac:dyDescent="0.3">
      <c r="A48" s="7" t="s">
        <v>1</v>
      </c>
      <c r="B48" s="7" t="s">
        <v>3</v>
      </c>
      <c r="C48" s="7" t="s">
        <v>45</v>
      </c>
      <c r="D48" s="7" t="s">
        <v>6</v>
      </c>
      <c r="E48" s="7" t="s">
        <v>30</v>
      </c>
      <c r="F48" s="7" t="s">
        <v>4</v>
      </c>
      <c r="G48" s="7">
        <v>2026</v>
      </c>
      <c r="H48" s="8">
        <v>4802423</v>
      </c>
      <c r="I48" s="8">
        <v>8780231</v>
      </c>
      <c r="J48" s="7">
        <v>18</v>
      </c>
      <c r="K48" s="7">
        <v>20</v>
      </c>
      <c r="L48" s="8">
        <f t="shared" si="3"/>
        <v>3977808</v>
      </c>
      <c r="M48" s="10">
        <f t="shared" si="4"/>
        <v>0.45304138353535345</v>
      </c>
      <c r="N48" s="10">
        <f t="shared" si="5"/>
        <v>0.9</v>
      </c>
    </row>
    <row r="49" spans="1:14" x14ac:dyDescent="0.3">
      <c r="A49" s="7" t="s">
        <v>1</v>
      </c>
      <c r="B49" s="7" t="s">
        <v>3</v>
      </c>
      <c r="C49" s="7" t="s">
        <v>45</v>
      </c>
      <c r="D49" s="7" t="s">
        <v>6</v>
      </c>
      <c r="E49" s="7" t="s">
        <v>31</v>
      </c>
      <c r="F49" s="7" t="s">
        <v>4</v>
      </c>
      <c r="G49" s="7">
        <v>2026</v>
      </c>
      <c r="H49" s="8">
        <v>5072095</v>
      </c>
      <c r="I49" s="8">
        <v>8665889</v>
      </c>
      <c r="J49" s="7">
        <v>20</v>
      </c>
      <c r="K49" s="7">
        <v>21</v>
      </c>
      <c r="L49" s="8">
        <f t="shared" si="3"/>
        <v>3593794</v>
      </c>
      <c r="M49" s="10">
        <f t="shared" si="4"/>
        <v>0.41470575032751977</v>
      </c>
      <c r="N49" s="10">
        <f t="shared" si="5"/>
        <v>0.95238095238095233</v>
      </c>
    </row>
    <row r="50" spans="1:14" x14ac:dyDescent="0.3">
      <c r="A50" s="7" t="s">
        <v>1</v>
      </c>
      <c r="B50" s="7" t="s">
        <v>3</v>
      </c>
      <c r="C50" s="7" t="s">
        <v>45</v>
      </c>
      <c r="D50" s="7" t="s">
        <v>6</v>
      </c>
      <c r="E50" s="7" t="s">
        <v>32</v>
      </c>
      <c r="F50" s="7" t="s">
        <v>4</v>
      </c>
      <c r="G50" s="7">
        <v>2026</v>
      </c>
      <c r="H50" s="8">
        <v>5896885</v>
      </c>
      <c r="I50" s="8">
        <v>8539690</v>
      </c>
      <c r="J50" s="7">
        <v>4</v>
      </c>
      <c r="K50" s="7">
        <v>5</v>
      </c>
      <c r="L50" s="8">
        <f t="shared" si="3"/>
        <v>2642805</v>
      </c>
      <c r="M50" s="10">
        <f t="shared" si="4"/>
        <v>0.30947317759778165</v>
      </c>
      <c r="N50" s="10">
        <f t="shared" si="5"/>
        <v>0.8</v>
      </c>
    </row>
    <row r="51" spans="1:14" x14ac:dyDescent="0.3">
      <c r="A51" s="7" t="s">
        <v>1</v>
      </c>
      <c r="B51" s="7" t="s">
        <v>3</v>
      </c>
      <c r="C51" s="7" t="s">
        <v>45</v>
      </c>
      <c r="D51" s="7" t="s">
        <v>5</v>
      </c>
      <c r="E51" s="7" t="s">
        <v>33</v>
      </c>
      <c r="F51" s="7" t="s">
        <v>4</v>
      </c>
      <c r="G51" s="7">
        <v>2026</v>
      </c>
      <c r="H51" s="8">
        <v>4646988</v>
      </c>
      <c r="I51" s="8">
        <v>9006076</v>
      </c>
      <c r="J51" s="7">
        <v>11</v>
      </c>
      <c r="K51" s="7">
        <v>11</v>
      </c>
      <c r="L51" s="8">
        <f t="shared" si="3"/>
        <v>4359088</v>
      </c>
      <c r="M51" s="10">
        <f t="shared" si="4"/>
        <v>0.48401634629776608</v>
      </c>
      <c r="N51" s="10">
        <f t="shared" si="5"/>
        <v>1</v>
      </c>
    </row>
    <row r="52" spans="1:14" x14ac:dyDescent="0.3">
      <c r="A52" s="7" t="s">
        <v>1</v>
      </c>
      <c r="B52" s="7" t="s">
        <v>3</v>
      </c>
      <c r="C52" s="7" t="s">
        <v>46</v>
      </c>
      <c r="D52" s="7" t="s">
        <v>6</v>
      </c>
      <c r="E52" s="7" t="s">
        <v>29</v>
      </c>
      <c r="F52" s="7" t="s">
        <v>4</v>
      </c>
      <c r="G52" s="7">
        <v>2026</v>
      </c>
      <c r="H52" s="8">
        <v>5412530</v>
      </c>
      <c r="I52" s="8">
        <v>8527421</v>
      </c>
      <c r="J52" s="7">
        <v>9</v>
      </c>
      <c r="K52" s="7">
        <v>11</v>
      </c>
      <c r="L52" s="8">
        <f t="shared" si="3"/>
        <v>3114891</v>
      </c>
      <c r="M52" s="10">
        <f t="shared" si="4"/>
        <v>0.3652793734471419</v>
      </c>
      <c r="N52" s="10">
        <f t="shared" si="5"/>
        <v>0.81818181818181823</v>
      </c>
    </row>
    <row r="53" spans="1:14" x14ac:dyDescent="0.3">
      <c r="A53" s="7" t="s">
        <v>1</v>
      </c>
      <c r="B53" s="7" t="s">
        <v>3</v>
      </c>
      <c r="C53" s="7" t="s">
        <v>46</v>
      </c>
      <c r="D53" s="7" t="s">
        <v>6</v>
      </c>
      <c r="E53" s="7" t="s">
        <v>30</v>
      </c>
      <c r="F53" s="7" t="s">
        <v>4</v>
      </c>
      <c r="G53" s="7">
        <v>2026</v>
      </c>
      <c r="H53" s="8">
        <v>5543765</v>
      </c>
      <c r="I53" s="8">
        <v>8769988</v>
      </c>
      <c r="J53" s="7">
        <v>22</v>
      </c>
      <c r="K53" s="7">
        <v>24</v>
      </c>
      <c r="L53" s="8">
        <f t="shared" si="3"/>
        <v>3226223</v>
      </c>
      <c r="M53" s="10">
        <f t="shared" si="4"/>
        <v>0.36787085683583604</v>
      </c>
      <c r="N53" s="10">
        <f t="shared" si="5"/>
        <v>0.91666666666666663</v>
      </c>
    </row>
    <row r="54" spans="1:14" x14ac:dyDescent="0.3">
      <c r="A54" s="7" t="s">
        <v>1</v>
      </c>
      <c r="B54" s="7" t="s">
        <v>3</v>
      </c>
      <c r="C54" s="7" t="s">
        <v>46</v>
      </c>
      <c r="D54" s="7" t="s">
        <v>6</v>
      </c>
      <c r="E54" s="7" t="s">
        <v>31</v>
      </c>
      <c r="F54" s="7" t="s">
        <v>4</v>
      </c>
      <c r="G54" s="7">
        <v>2026</v>
      </c>
      <c r="H54" s="8">
        <v>4505069</v>
      </c>
      <c r="I54" s="8">
        <v>8478594</v>
      </c>
      <c r="J54" s="7">
        <v>4</v>
      </c>
      <c r="K54" s="7">
        <v>5</v>
      </c>
      <c r="L54" s="8">
        <f t="shared" si="3"/>
        <v>3973525</v>
      </c>
      <c r="M54" s="10">
        <f t="shared" si="4"/>
        <v>0.46865376499924399</v>
      </c>
      <c r="N54" s="10">
        <f t="shared" si="5"/>
        <v>0.8</v>
      </c>
    </row>
    <row r="55" spans="1:14" x14ac:dyDescent="0.3">
      <c r="A55" s="7" t="s">
        <v>1</v>
      </c>
      <c r="B55" s="7" t="s">
        <v>3</v>
      </c>
      <c r="C55" s="7" t="s">
        <v>46</v>
      </c>
      <c r="D55" s="7" t="s">
        <v>6</v>
      </c>
      <c r="E55" s="7" t="s">
        <v>32</v>
      </c>
      <c r="F55" s="7" t="s">
        <v>4</v>
      </c>
      <c r="G55" s="7">
        <v>2026</v>
      </c>
      <c r="H55" s="8">
        <v>4013283</v>
      </c>
      <c r="I55" s="8">
        <v>8830540</v>
      </c>
      <c r="J55" s="7">
        <v>5</v>
      </c>
      <c r="K55" s="7">
        <v>8</v>
      </c>
      <c r="L55" s="8">
        <f t="shared" si="3"/>
        <v>4817257</v>
      </c>
      <c r="M55" s="10">
        <f t="shared" si="4"/>
        <v>0.5455223576361129</v>
      </c>
      <c r="N55" s="10">
        <f t="shared" si="5"/>
        <v>0.625</v>
      </c>
    </row>
    <row r="56" spans="1:14" x14ac:dyDescent="0.3">
      <c r="A56" s="7" t="s">
        <v>1</v>
      </c>
      <c r="B56" s="7" t="s">
        <v>3</v>
      </c>
      <c r="C56" s="7" t="s">
        <v>46</v>
      </c>
      <c r="D56" s="7" t="s">
        <v>5</v>
      </c>
      <c r="E56" s="7" t="s">
        <v>33</v>
      </c>
      <c r="F56" s="7" t="s">
        <v>4</v>
      </c>
      <c r="G56" s="7">
        <v>2026</v>
      </c>
      <c r="H56" s="8">
        <v>3107456</v>
      </c>
      <c r="I56" s="8">
        <v>9040473</v>
      </c>
      <c r="J56" s="7">
        <v>16</v>
      </c>
      <c r="K56" s="7">
        <v>17</v>
      </c>
      <c r="L56" s="8">
        <f t="shared" si="3"/>
        <v>5933017</v>
      </c>
      <c r="M56" s="10">
        <f t="shared" si="4"/>
        <v>0.65627285209523878</v>
      </c>
      <c r="N56" s="10">
        <f t="shared" si="5"/>
        <v>0.94117647058823528</v>
      </c>
    </row>
    <row r="57" spans="1:14" x14ac:dyDescent="0.3">
      <c r="A57" s="7" t="s">
        <v>1</v>
      </c>
      <c r="B57" s="7" t="s">
        <v>3</v>
      </c>
      <c r="C57" s="7" t="s">
        <v>47</v>
      </c>
      <c r="D57" s="7" t="s">
        <v>6</v>
      </c>
      <c r="E57" s="7" t="s">
        <v>29</v>
      </c>
      <c r="F57" s="7" t="s">
        <v>4</v>
      </c>
      <c r="G57" s="7">
        <v>2026</v>
      </c>
      <c r="H57" s="8">
        <v>5643858</v>
      </c>
      <c r="I57" s="8">
        <v>8573039</v>
      </c>
      <c r="J57" s="7">
        <v>4</v>
      </c>
      <c r="K57" s="7">
        <v>6</v>
      </c>
      <c r="L57" s="8">
        <f t="shared" si="3"/>
        <v>2929181</v>
      </c>
      <c r="M57" s="10">
        <f t="shared" si="4"/>
        <v>0.34167358856060259</v>
      </c>
      <c r="N57" s="10">
        <f t="shared" si="5"/>
        <v>0.66666666666666663</v>
      </c>
    </row>
    <row r="58" spans="1:14" x14ac:dyDescent="0.3">
      <c r="A58" s="7" t="s">
        <v>1</v>
      </c>
      <c r="B58" s="7" t="s">
        <v>3</v>
      </c>
      <c r="C58" s="7" t="s">
        <v>47</v>
      </c>
      <c r="D58" s="7" t="s">
        <v>6</v>
      </c>
      <c r="E58" s="7" t="s">
        <v>30</v>
      </c>
      <c r="F58" s="7" t="s">
        <v>4</v>
      </c>
      <c r="G58" s="7">
        <v>2026</v>
      </c>
      <c r="H58" s="8">
        <v>4612925</v>
      </c>
      <c r="I58" s="8">
        <v>8910680</v>
      </c>
      <c r="J58" s="7">
        <v>20</v>
      </c>
      <c r="K58" s="7">
        <v>25</v>
      </c>
      <c r="L58" s="8">
        <f t="shared" si="3"/>
        <v>4297755</v>
      </c>
      <c r="M58" s="10">
        <f t="shared" si="4"/>
        <v>0.48231504217411014</v>
      </c>
      <c r="N58" s="10">
        <f t="shared" si="5"/>
        <v>0.8</v>
      </c>
    </row>
    <row r="59" spans="1:14" x14ac:dyDescent="0.3">
      <c r="A59" s="7" t="s">
        <v>1</v>
      </c>
      <c r="B59" s="7" t="s">
        <v>3</v>
      </c>
      <c r="C59" s="7" t="s">
        <v>47</v>
      </c>
      <c r="D59" s="7" t="s">
        <v>6</v>
      </c>
      <c r="E59" s="7" t="s">
        <v>31</v>
      </c>
      <c r="F59" s="7" t="s">
        <v>4</v>
      </c>
      <c r="G59" s="7">
        <v>2026</v>
      </c>
      <c r="H59" s="8">
        <v>5949337</v>
      </c>
      <c r="I59" s="8">
        <v>9012834</v>
      </c>
      <c r="J59" s="7">
        <v>7</v>
      </c>
      <c r="K59" s="7">
        <v>10</v>
      </c>
      <c r="L59" s="8">
        <f t="shared" si="3"/>
        <v>3063497</v>
      </c>
      <c r="M59" s="10">
        <f t="shared" si="4"/>
        <v>0.33990385266166001</v>
      </c>
      <c r="N59" s="10">
        <f t="shared" si="5"/>
        <v>0.7</v>
      </c>
    </row>
    <row r="60" spans="1:14" x14ac:dyDescent="0.3">
      <c r="A60" s="7" t="s">
        <v>1</v>
      </c>
      <c r="B60" s="7" t="s">
        <v>3</v>
      </c>
      <c r="C60" s="7" t="s">
        <v>47</v>
      </c>
      <c r="D60" s="7" t="s">
        <v>6</v>
      </c>
      <c r="E60" s="7" t="s">
        <v>32</v>
      </c>
      <c r="F60" s="7" t="s">
        <v>4</v>
      </c>
      <c r="G60" s="7">
        <v>2026</v>
      </c>
      <c r="H60" s="8">
        <v>2511189</v>
      </c>
      <c r="I60" s="8">
        <v>8776602</v>
      </c>
      <c r="J60" s="7">
        <v>10</v>
      </c>
      <c r="K60" s="7">
        <v>12</v>
      </c>
      <c r="L60" s="8">
        <f t="shared" si="3"/>
        <v>6265413</v>
      </c>
      <c r="M60" s="10">
        <f t="shared" si="4"/>
        <v>0.71387685120049882</v>
      </c>
      <c r="N60" s="10">
        <f t="shared" si="5"/>
        <v>0.83333333333333337</v>
      </c>
    </row>
    <row r="61" spans="1:14" x14ac:dyDescent="0.3">
      <c r="A61" s="7" t="s">
        <v>1</v>
      </c>
      <c r="B61" s="7" t="s">
        <v>3</v>
      </c>
      <c r="C61" s="7" t="s">
        <v>47</v>
      </c>
      <c r="D61" s="7" t="s">
        <v>5</v>
      </c>
      <c r="E61" s="7" t="s">
        <v>33</v>
      </c>
      <c r="F61" s="7" t="s">
        <v>4</v>
      </c>
      <c r="G61" s="7">
        <v>2026</v>
      </c>
      <c r="H61" s="8">
        <v>2745287</v>
      </c>
      <c r="I61" s="8">
        <v>8957341</v>
      </c>
      <c r="J61" s="7">
        <v>11</v>
      </c>
      <c r="K61" s="7">
        <v>15</v>
      </c>
      <c r="L61" s="8">
        <f t="shared" si="3"/>
        <v>6212054</v>
      </c>
      <c r="M61" s="10">
        <f t="shared" si="4"/>
        <v>0.69351540819982183</v>
      </c>
      <c r="N61" s="10">
        <f t="shared" si="5"/>
        <v>0.73333333333333328</v>
      </c>
    </row>
    <row r="62" spans="1:14" x14ac:dyDescent="0.3">
      <c r="A62" s="7" t="s">
        <v>1</v>
      </c>
      <c r="B62" s="7" t="s">
        <v>3</v>
      </c>
      <c r="C62" s="7" t="s">
        <v>48</v>
      </c>
      <c r="D62" s="7" t="s">
        <v>6</v>
      </c>
      <c r="E62" s="7" t="s">
        <v>29</v>
      </c>
      <c r="F62" s="7" t="s">
        <v>4</v>
      </c>
      <c r="G62" s="7">
        <v>2026</v>
      </c>
      <c r="H62" s="8">
        <v>2578748</v>
      </c>
      <c r="I62" s="8">
        <v>9069084</v>
      </c>
      <c r="J62" s="7">
        <v>15</v>
      </c>
      <c r="K62" s="7">
        <v>19</v>
      </c>
      <c r="L62" s="8">
        <f t="shared" si="3"/>
        <v>6490336</v>
      </c>
      <c r="M62" s="10">
        <f t="shared" si="4"/>
        <v>0.71565507608045087</v>
      </c>
      <c r="N62" s="10">
        <f t="shared" si="5"/>
        <v>0.78947368421052633</v>
      </c>
    </row>
    <row r="63" spans="1:14" x14ac:dyDescent="0.3">
      <c r="A63" s="7" t="s">
        <v>1</v>
      </c>
      <c r="B63" s="7" t="s">
        <v>3</v>
      </c>
      <c r="C63" s="7" t="s">
        <v>48</v>
      </c>
      <c r="D63" s="7" t="s">
        <v>6</v>
      </c>
      <c r="E63" s="7" t="s">
        <v>30</v>
      </c>
      <c r="F63" s="7" t="s">
        <v>4</v>
      </c>
      <c r="G63" s="7">
        <v>2026</v>
      </c>
      <c r="H63" s="8">
        <v>2806512</v>
      </c>
      <c r="I63" s="8">
        <v>9016356</v>
      </c>
      <c r="J63" s="7">
        <v>19</v>
      </c>
      <c r="K63" s="7">
        <v>21</v>
      </c>
      <c r="L63" s="8">
        <f t="shared" si="3"/>
        <v>6209844</v>
      </c>
      <c r="M63" s="10">
        <f t="shared" si="4"/>
        <v>0.68873101283933336</v>
      </c>
      <c r="N63" s="10">
        <f t="shared" si="5"/>
        <v>0.90476190476190477</v>
      </c>
    </row>
    <row r="64" spans="1:14" x14ac:dyDescent="0.3">
      <c r="A64" s="7" t="s">
        <v>1</v>
      </c>
      <c r="B64" s="7" t="s">
        <v>3</v>
      </c>
      <c r="C64" s="7" t="s">
        <v>48</v>
      </c>
      <c r="D64" s="7" t="s">
        <v>6</v>
      </c>
      <c r="E64" s="7" t="s">
        <v>31</v>
      </c>
      <c r="F64" s="7" t="s">
        <v>4</v>
      </c>
      <c r="G64" s="7">
        <v>2026</v>
      </c>
      <c r="H64" s="8">
        <v>3261249</v>
      </c>
      <c r="I64" s="8">
        <v>8696481</v>
      </c>
      <c r="J64" s="7">
        <v>8</v>
      </c>
      <c r="K64" s="7">
        <v>13</v>
      </c>
      <c r="L64" s="8">
        <f t="shared" si="3"/>
        <v>5435232</v>
      </c>
      <c r="M64" s="10">
        <f t="shared" si="4"/>
        <v>0.6249921088771424</v>
      </c>
      <c r="N64" s="10">
        <f t="shared" si="5"/>
        <v>0.61538461538461542</v>
      </c>
    </row>
    <row r="65" spans="1:14" x14ac:dyDescent="0.3">
      <c r="A65" s="7" t="s">
        <v>1</v>
      </c>
      <c r="B65" s="7" t="s">
        <v>3</v>
      </c>
      <c r="C65" s="7" t="s">
        <v>48</v>
      </c>
      <c r="D65" s="7" t="s">
        <v>6</v>
      </c>
      <c r="E65" s="7" t="s">
        <v>32</v>
      </c>
      <c r="F65" s="7" t="s">
        <v>4</v>
      </c>
      <c r="G65" s="7">
        <v>2026</v>
      </c>
      <c r="H65" s="8">
        <v>5156291</v>
      </c>
      <c r="I65" s="8">
        <v>8519274</v>
      </c>
      <c r="J65" s="7">
        <v>6</v>
      </c>
      <c r="K65" s="7">
        <v>8</v>
      </c>
      <c r="L65" s="8">
        <f t="shared" si="3"/>
        <v>3362983</v>
      </c>
      <c r="M65" s="10">
        <f t="shared" si="4"/>
        <v>0.39474995169776206</v>
      </c>
      <c r="N65" s="10">
        <f t="shared" si="5"/>
        <v>0.75</v>
      </c>
    </row>
    <row r="66" spans="1:14" x14ac:dyDescent="0.3">
      <c r="A66" s="7" t="s">
        <v>1</v>
      </c>
      <c r="B66" s="7" t="s">
        <v>3</v>
      </c>
      <c r="C66" s="7" t="s">
        <v>48</v>
      </c>
      <c r="D66" s="7" t="s">
        <v>5</v>
      </c>
      <c r="E66" s="7" t="s">
        <v>33</v>
      </c>
      <c r="F66" s="7" t="s">
        <v>4</v>
      </c>
      <c r="G66" s="7">
        <v>2026</v>
      </c>
      <c r="H66" s="8">
        <v>3014053</v>
      </c>
      <c r="I66" s="8">
        <v>8904627</v>
      </c>
      <c r="J66" s="7">
        <v>11</v>
      </c>
      <c r="K66" s="7">
        <v>13</v>
      </c>
      <c r="L66" s="8">
        <f t="shared" ref="L66:L97" si="6">IFERROR(I66-H66, 0)</f>
        <v>5890574</v>
      </c>
      <c r="M66" s="10">
        <f t="shared" ref="M66:M97" si="7">IFERROR(L66/I66,0)</f>
        <v>0.66151833198628085</v>
      </c>
      <c r="N66" s="10">
        <f t="shared" ref="N66:N97" si="8">IFERROR((J66/K66),0)</f>
        <v>0.84615384615384615</v>
      </c>
    </row>
    <row r="67" spans="1:14" x14ac:dyDescent="0.3">
      <c r="A67" s="7" t="s">
        <v>1</v>
      </c>
      <c r="B67" s="7" t="s">
        <v>3</v>
      </c>
      <c r="C67" s="7" t="s">
        <v>49</v>
      </c>
      <c r="D67" s="7" t="s">
        <v>6</v>
      </c>
      <c r="E67" s="7" t="s">
        <v>29</v>
      </c>
      <c r="F67" s="7" t="s">
        <v>4</v>
      </c>
      <c r="G67" s="7">
        <v>2026</v>
      </c>
      <c r="H67" s="8">
        <v>4569504</v>
      </c>
      <c r="I67" s="8">
        <v>8678737</v>
      </c>
      <c r="J67" s="7">
        <v>7</v>
      </c>
      <c r="K67" s="7">
        <v>9</v>
      </c>
      <c r="L67" s="8">
        <f t="shared" si="6"/>
        <v>4109233</v>
      </c>
      <c r="M67" s="10">
        <f t="shared" si="7"/>
        <v>0.47348283511759831</v>
      </c>
      <c r="N67" s="10">
        <f t="shared" si="8"/>
        <v>0.77777777777777779</v>
      </c>
    </row>
    <row r="68" spans="1:14" x14ac:dyDescent="0.3">
      <c r="A68" s="7" t="s">
        <v>1</v>
      </c>
      <c r="B68" s="7" t="s">
        <v>3</v>
      </c>
      <c r="C68" s="7" t="s">
        <v>49</v>
      </c>
      <c r="D68" s="7" t="s">
        <v>6</v>
      </c>
      <c r="E68" s="7" t="s">
        <v>30</v>
      </c>
      <c r="F68" s="7" t="s">
        <v>4</v>
      </c>
      <c r="G68" s="7">
        <v>2026</v>
      </c>
      <c r="H68" s="8">
        <v>2429395</v>
      </c>
      <c r="I68" s="8">
        <v>8913514</v>
      </c>
      <c r="J68" s="7">
        <v>4</v>
      </c>
      <c r="K68" s="7">
        <v>5</v>
      </c>
      <c r="L68" s="8">
        <f t="shared" si="6"/>
        <v>6484119</v>
      </c>
      <c r="M68" s="10">
        <f t="shared" si="7"/>
        <v>0.72744811978754953</v>
      </c>
      <c r="N68" s="10">
        <f t="shared" si="8"/>
        <v>0.8</v>
      </c>
    </row>
    <row r="69" spans="1:14" x14ac:dyDescent="0.3">
      <c r="A69" s="7" t="s">
        <v>1</v>
      </c>
      <c r="B69" s="7" t="s">
        <v>3</v>
      </c>
      <c r="C69" s="7" t="s">
        <v>49</v>
      </c>
      <c r="D69" s="7" t="s">
        <v>6</v>
      </c>
      <c r="E69" s="7" t="s">
        <v>31</v>
      </c>
      <c r="F69" s="7" t="s">
        <v>4</v>
      </c>
      <c r="G69" s="7">
        <v>2026</v>
      </c>
      <c r="H69" s="8">
        <v>4603061</v>
      </c>
      <c r="I69" s="8">
        <v>8654153</v>
      </c>
      <c r="J69" s="7">
        <v>7</v>
      </c>
      <c r="K69" s="7">
        <v>10</v>
      </c>
      <c r="L69" s="8">
        <f t="shared" si="6"/>
        <v>4051092</v>
      </c>
      <c r="M69" s="10">
        <f t="shared" si="7"/>
        <v>0.46810958854090051</v>
      </c>
      <c r="N69" s="10">
        <f t="shared" si="8"/>
        <v>0.7</v>
      </c>
    </row>
    <row r="70" spans="1:14" x14ac:dyDescent="0.3">
      <c r="A70" s="7" t="s">
        <v>1</v>
      </c>
      <c r="B70" s="7" t="s">
        <v>3</v>
      </c>
      <c r="C70" s="7" t="s">
        <v>49</v>
      </c>
      <c r="D70" s="7" t="s">
        <v>6</v>
      </c>
      <c r="E70" s="7" t="s">
        <v>32</v>
      </c>
      <c r="F70" s="7" t="s">
        <v>4</v>
      </c>
      <c r="G70" s="7">
        <v>2026</v>
      </c>
      <c r="H70" s="8">
        <v>4505046</v>
      </c>
      <c r="I70" s="8">
        <v>9026066</v>
      </c>
      <c r="J70" s="7">
        <v>4</v>
      </c>
      <c r="K70" s="7">
        <v>7</v>
      </c>
      <c r="L70" s="8">
        <f t="shared" si="6"/>
        <v>4521020</v>
      </c>
      <c r="M70" s="10">
        <f t="shared" si="7"/>
        <v>0.50088488163060185</v>
      </c>
      <c r="N70" s="10">
        <f t="shared" si="8"/>
        <v>0.5714285714285714</v>
      </c>
    </row>
    <row r="71" spans="1:14" x14ac:dyDescent="0.3">
      <c r="A71" s="7" t="s">
        <v>1</v>
      </c>
      <c r="B71" s="7" t="s">
        <v>3</v>
      </c>
      <c r="C71" s="7" t="s">
        <v>49</v>
      </c>
      <c r="D71" s="7" t="s">
        <v>5</v>
      </c>
      <c r="E71" s="7" t="s">
        <v>33</v>
      </c>
      <c r="F71" s="7" t="s">
        <v>4</v>
      </c>
      <c r="G71" s="7">
        <v>2026</v>
      </c>
      <c r="H71" s="8">
        <v>2706279</v>
      </c>
      <c r="I71" s="8">
        <v>8547124</v>
      </c>
      <c r="J71" s="7">
        <v>12</v>
      </c>
      <c r="K71" s="7">
        <v>15</v>
      </c>
      <c r="L71" s="8">
        <f t="shared" si="6"/>
        <v>5840845</v>
      </c>
      <c r="M71" s="10">
        <f t="shared" si="7"/>
        <v>0.68336963404298334</v>
      </c>
      <c r="N71" s="10">
        <f t="shared" si="8"/>
        <v>0.8</v>
      </c>
    </row>
    <row r="72" spans="1:14" x14ac:dyDescent="0.3">
      <c r="A72" s="7" t="s">
        <v>1</v>
      </c>
      <c r="B72" s="7" t="s">
        <v>3</v>
      </c>
      <c r="C72" s="7" t="s">
        <v>50</v>
      </c>
      <c r="D72" s="7" t="s">
        <v>6</v>
      </c>
      <c r="E72" s="7" t="s">
        <v>29</v>
      </c>
      <c r="F72" s="7" t="s">
        <v>4</v>
      </c>
      <c r="G72" s="7">
        <v>2026</v>
      </c>
      <c r="H72" s="8">
        <v>4426475</v>
      </c>
      <c r="I72" s="8">
        <v>8515880</v>
      </c>
      <c r="J72" s="7">
        <v>8</v>
      </c>
      <c r="K72" s="7">
        <v>10</v>
      </c>
      <c r="L72" s="8">
        <f t="shared" si="6"/>
        <v>4089405</v>
      </c>
      <c r="M72" s="10">
        <f t="shared" si="7"/>
        <v>0.48020932657576199</v>
      </c>
      <c r="N72" s="10">
        <f t="shared" si="8"/>
        <v>0.8</v>
      </c>
    </row>
    <row r="73" spans="1:14" x14ac:dyDescent="0.3">
      <c r="A73" s="7" t="s">
        <v>1</v>
      </c>
      <c r="B73" s="7" t="s">
        <v>3</v>
      </c>
      <c r="C73" s="7" t="s">
        <v>50</v>
      </c>
      <c r="D73" s="7" t="s">
        <v>6</v>
      </c>
      <c r="E73" s="7" t="s">
        <v>30</v>
      </c>
      <c r="F73" s="7" t="s">
        <v>4</v>
      </c>
      <c r="G73" s="7">
        <v>2026</v>
      </c>
      <c r="H73" s="8">
        <v>5418933</v>
      </c>
      <c r="I73" s="8">
        <v>8846243</v>
      </c>
      <c r="J73" s="7">
        <v>12</v>
      </c>
      <c r="K73" s="7">
        <v>16</v>
      </c>
      <c r="L73" s="8">
        <f t="shared" si="6"/>
        <v>3427310</v>
      </c>
      <c r="M73" s="10">
        <f t="shared" si="7"/>
        <v>0.38743113884617458</v>
      </c>
      <c r="N73" s="10">
        <f t="shared" si="8"/>
        <v>0.75</v>
      </c>
    </row>
    <row r="74" spans="1:14" x14ac:dyDescent="0.3">
      <c r="A74" s="7" t="s">
        <v>1</v>
      </c>
      <c r="B74" s="7" t="s">
        <v>3</v>
      </c>
      <c r="C74" s="7" t="s">
        <v>50</v>
      </c>
      <c r="D74" s="7" t="s">
        <v>6</v>
      </c>
      <c r="E74" s="7" t="s">
        <v>31</v>
      </c>
      <c r="F74" s="7" t="s">
        <v>4</v>
      </c>
      <c r="G74" s="7">
        <v>2026</v>
      </c>
      <c r="H74" s="8">
        <v>3242647</v>
      </c>
      <c r="I74" s="8">
        <v>8531617</v>
      </c>
      <c r="J74" s="7">
        <v>9</v>
      </c>
      <c r="K74" s="7">
        <v>11</v>
      </c>
      <c r="L74" s="8">
        <f t="shared" si="6"/>
        <v>5288970</v>
      </c>
      <c r="M74" s="10">
        <f t="shared" si="7"/>
        <v>0.61992585930662381</v>
      </c>
      <c r="N74" s="10">
        <f t="shared" si="8"/>
        <v>0.81818181818181823</v>
      </c>
    </row>
    <row r="75" spans="1:14" x14ac:dyDescent="0.3">
      <c r="A75" s="7" t="s">
        <v>1</v>
      </c>
      <c r="B75" s="7" t="s">
        <v>3</v>
      </c>
      <c r="C75" s="7" t="s">
        <v>50</v>
      </c>
      <c r="D75" s="7" t="s">
        <v>6</v>
      </c>
      <c r="E75" s="7" t="s">
        <v>32</v>
      </c>
      <c r="F75" s="7" t="s">
        <v>4</v>
      </c>
      <c r="G75" s="7">
        <v>2026</v>
      </c>
      <c r="H75" s="8">
        <v>2418301</v>
      </c>
      <c r="I75" s="8">
        <v>9138940</v>
      </c>
      <c r="J75" s="7">
        <v>21</v>
      </c>
      <c r="K75" s="7">
        <v>25</v>
      </c>
      <c r="L75" s="8">
        <f t="shared" si="6"/>
        <v>6720639</v>
      </c>
      <c r="M75" s="10">
        <f t="shared" si="7"/>
        <v>0.73538495711756502</v>
      </c>
      <c r="N75" s="10">
        <f t="shared" si="8"/>
        <v>0.84</v>
      </c>
    </row>
    <row r="76" spans="1:14" x14ac:dyDescent="0.3">
      <c r="A76" s="7" t="s">
        <v>1</v>
      </c>
      <c r="B76" s="7" t="s">
        <v>3</v>
      </c>
      <c r="C76" s="7" t="s">
        <v>50</v>
      </c>
      <c r="D76" s="7" t="s">
        <v>5</v>
      </c>
      <c r="E76" s="7" t="s">
        <v>33</v>
      </c>
      <c r="F76" s="7" t="s">
        <v>4</v>
      </c>
      <c r="G76" s="7">
        <v>2026</v>
      </c>
      <c r="H76" s="8">
        <v>4258440</v>
      </c>
      <c r="I76" s="8">
        <v>8577445</v>
      </c>
      <c r="J76" s="7">
        <v>17</v>
      </c>
      <c r="K76" s="7">
        <v>22</v>
      </c>
      <c r="L76" s="8">
        <f t="shared" si="6"/>
        <v>4319005</v>
      </c>
      <c r="M76" s="10">
        <f t="shared" si="7"/>
        <v>0.50353048023041824</v>
      </c>
      <c r="N76" s="10">
        <f t="shared" si="8"/>
        <v>0.77272727272727271</v>
      </c>
    </row>
    <row r="77" spans="1:14" x14ac:dyDescent="0.3">
      <c r="A77" s="7" t="s">
        <v>11</v>
      </c>
      <c r="B77" s="7" t="s">
        <v>13</v>
      </c>
      <c r="C77" s="7" t="s">
        <v>51</v>
      </c>
      <c r="D77" s="7" t="s">
        <v>6</v>
      </c>
      <c r="E77" s="7" t="s">
        <v>29</v>
      </c>
      <c r="F77" s="7" t="s">
        <v>4</v>
      </c>
      <c r="G77" s="7">
        <v>2026</v>
      </c>
      <c r="H77" s="8">
        <v>4009744</v>
      </c>
      <c r="I77" s="8">
        <v>8725076</v>
      </c>
      <c r="J77" s="9" t="s">
        <v>7</v>
      </c>
      <c r="K77" s="7">
        <v>17</v>
      </c>
      <c r="L77" s="8">
        <f t="shared" si="6"/>
        <v>4715332</v>
      </c>
      <c r="M77" s="10">
        <f t="shared" si="7"/>
        <v>0.54043449019813694</v>
      </c>
      <c r="N77" s="10">
        <f t="shared" si="8"/>
        <v>0</v>
      </c>
    </row>
    <row r="78" spans="1:14" x14ac:dyDescent="0.3">
      <c r="A78" s="7" t="s">
        <v>11</v>
      </c>
      <c r="B78" s="7" t="s">
        <v>13</v>
      </c>
      <c r="C78" s="7" t="s">
        <v>51</v>
      </c>
      <c r="D78" s="7" t="s">
        <v>6</v>
      </c>
      <c r="E78" s="7" t="s">
        <v>30</v>
      </c>
      <c r="F78" s="7" t="s">
        <v>4</v>
      </c>
      <c r="G78" s="7">
        <v>2026</v>
      </c>
      <c r="H78" s="8">
        <v>5461756</v>
      </c>
      <c r="I78" s="8">
        <v>8804458</v>
      </c>
      <c r="J78" s="9" t="s">
        <v>7</v>
      </c>
      <c r="K78" s="7">
        <v>19</v>
      </c>
      <c r="L78" s="8">
        <f t="shared" si="6"/>
        <v>3342702</v>
      </c>
      <c r="M78" s="10">
        <f t="shared" si="7"/>
        <v>0.37966016761054455</v>
      </c>
      <c r="N78" s="10">
        <f t="shared" si="8"/>
        <v>0</v>
      </c>
    </row>
    <row r="79" spans="1:14" x14ac:dyDescent="0.3">
      <c r="A79" s="7" t="s">
        <v>11</v>
      </c>
      <c r="B79" s="7" t="s">
        <v>13</v>
      </c>
      <c r="C79" s="7" t="s">
        <v>51</v>
      </c>
      <c r="D79" s="7" t="s">
        <v>6</v>
      </c>
      <c r="E79" s="7" t="s">
        <v>31</v>
      </c>
      <c r="F79" s="7" t="s">
        <v>4</v>
      </c>
      <c r="G79" s="7">
        <v>2026</v>
      </c>
      <c r="H79" s="8">
        <v>3526630</v>
      </c>
      <c r="I79" s="8">
        <v>9146561</v>
      </c>
      <c r="J79" s="9" t="s">
        <v>7</v>
      </c>
      <c r="K79" s="7">
        <v>19</v>
      </c>
      <c r="L79" s="8">
        <f t="shared" si="6"/>
        <v>5619931</v>
      </c>
      <c r="M79" s="10">
        <f t="shared" si="7"/>
        <v>0.61443104134985815</v>
      </c>
      <c r="N79" s="10">
        <f t="shared" si="8"/>
        <v>0</v>
      </c>
    </row>
    <row r="80" spans="1:14" x14ac:dyDescent="0.3">
      <c r="A80" s="7" t="s">
        <v>11</v>
      </c>
      <c r="B80" s="7" t="s">
        <v>13</v>
      </c>
      <c r="C80" s="7" t="s">
        <v>51</v>
      </c>
      <c r="D80" s="7" t="s">
        <v>6</v>
      </c>
      <c r="E80" s="7" t="s">
        <v>32</v>
      </c>
      <c r="F80" s="7" t="s">
        <v>4</v>
      </c>
      <c r="G80" s="7">
        <v>2026</v>
      </c>
      <c r="H80" s="8">
        <v>5732006</v>
      </c>
      <c r="I80" s="8">
        <v>9081480</v>
      </c>
      <c r="J80" s="9" t="s">
        <v>7</v>
      </c>
      <c r="K80" s="7">
        <v>20</v>
      </c>
      <c r="L80" s="8">
        <f t="shared" si="6"/>
        <v>3349474</v>
      </c>
      <c r="M80" s="10">
        <f t="shared" si="7"/>
        <v>0.36882468496324389</v>
      </c>
      <c r="N80" s="10">
        <f t="shared" si="8"/>
        <v>0</v>
      </c>
    </row>
    <row r="81" spans="1:14" x14ac:dyDescent="0.3">
      <c r="A81" s="7" t="s">
        <v>11</v>
      </c>
      <c r="B81" s="7" t="s">
        <v>13</v>
      </c>
      <c r="C81" s="7" t="s">
        <v>51</v>
      </c>
      <c r="D81" s="7" t="s">
        <v>5</v>
      </c>
      <c r="E81" s="7" t="s">
        <v>33</v>
      </c>
      <c r="F81" s="7" t="s">
        <v>4</v>
      </c>
      <c r="G81" s="7">
        <v>2026</v>
      </c>
      <c r="H81" s="8">
        <v>2781408</v>
      </c>
      <c r="I81" s="8">
        <v>9073188</v>
      </c>
      <c r="J81" s="9" t="s">
        <v>7</v>
      </c>
      <c r="K81" s="7">
        <v>17</v>
      </c>
      <c r="L81" s="8">
        <f t="shared" si="6"/>
        <v>6291780</v>
      </c>
      <c r="M81" s="10">
        <f t="shared" si="7"/>
        <v>0.69344755118046708</v>
      </c>
      <c r="N81" s="10">
        <f t="shared" si="8"/>
        <v>0</v>
      </c>
    </row>
    <row r="82" spans="1:14" x14ac:dyDescent="0.3">
      <c r="A82" s="7" t="s">
        <v>11</v>
      </c>
      <c r="B82" s="7" t="s">
        <v>13</v>
      </c>
      <c r="C82" s="7" t="s">
        <v>52</v>
      </c>
      <c r="D82" s="7" t="s">
        <v>6</v>
      </c>
      <c r="E82" s="7" t="s">
        <v>29</v>
      </c>
      <c r="F82" s="7" t="s">
        <v>4</v>
      </c>
      <c r="G82" s="7">
        <v>2026</v>
      </c>
      <c r="H82" s="8">
        <v>3678091</v>
      </c>
      <c r="I82" s="8">
        <v>8985903</v>
      </c>
      <c r="J82" s="9" t="s">
        <v>7</v>
      </c>
      <c r="K82" s="7">
        <v>16</v>
      </c>
      <c r="L82" s="8">
        <f t="shared" si="6"/>
        <v>5307812</v>
      </c>
      <c r="M82" s="10">
        <f t="shared" si="7"/>
        <v>0.59068209394203341</v>
      </c>
      <c r="N82" s="10">
        <f t="shared" si="8"/>
        <v>0</v>
      </c>
    </row>
    <row r="83" spans="1:14" x14ac:dyDescent="0.3">
      <c r="A83" s="7" t="s">
        <v>11</v>
      </c>
      <c r="B83" s="7" t="s">
        <v>13</v>
      </c>
      <c r="C83" s="7" t="s">
        <v>52</v>
      </c>
      <c r="D83" s="7" t="s">
        <v>6</v>
      </c>
      <c r="E83" s="7" t="s">
        <v>30</v>
      </c>
      <c r="F83" s="7" t="s">
        <v>4</v>
      </c>
      <c r="G83" s="7">
        <v>2026</v>
      </c>
      <c r="H83" s="8">
        <v>4434679</v>
      </c>
      <c r="I83" s="8">
        <v>9097786</v>
      </c>
      <c r="J83" s="9" t="s">
        <v>7</v>
      </c>
      <c r="K83" s="7">
        <v>19</v>
      </c>
      <c r="L83" s="8">
        <f t="shared" si="6"/>
        <v>4663107</v>
      </c>
      <c r="M83" s="10">
        <f t="shared" si="7"/>
        <v>0.51255404336835353</v>
      </c>
      <c r="N83" s="10">
        <f t="shared" si="8"/>
        <v>0</v>
      </c>
    </row>
    <row r="84" spans="1:14" x14ac:dyDescent="0.3">
      <c r="A84" s="7" t="s">
        <v>11</v>
      </c>
      <c r="B84" s="7" t="s">
        <v>13</v>
      </c>
      <c r="C84" s="7" t="s">
        <v>52</v>
      </c>
      <c r="D84" s="7" t="s">
        <v>6</v>
      </c>
      <c r="E84" s="7" t="s">
        <v>31</v>
      </c>
      <c r="F84" s="7" t="s">
        <v>4</v>
      </c>
      <c r="G84" s="7">
        <v>2026</v>
      </c>
      <c r="H84" s="8">
        <v>3652611</v>
      </c>
      <c r="I84" s="8">
        <v>9115922</v>
      </c>
      <c r="J84" s="9" t="s">
        <v>7</v>
      </c>
      <c r="K84" s="7">
        <v>15</v>
      </c>
      <c r="L84" s="8">
        <f t="shared" si="6"/>
        <v>5463311</v>
      </c>
      <c r="M84" s="10">
        <f t="shared" si="7"/>
        <v>0.59931524205670039</v>
      </c>
      <c r="N84" s="10">
        <f t="shared" si="8"/>
        <v>0</v>
      </c>
    </row>
    <row r="85" spans="1:14" x14ac:dyDescent="0.3">
      <c r="A85" s="7" t="s">
        <v>11</v>
      </c>
      <c r="B85" s="7" t="s">
        <v>13</v>
      </c>
      <c r="C85" s="7" t="s">
        <v>52</v>
      </c>
      <c r="D85" s="7" t="s">
        <v>6</v>
      </c>
      <c r="E85" s="7" t="s">
        <v>32</v>
      </c>
      <c r="F85" s="7" t="s">
        <v>4</v>
      </c>
      <c r="G85" s="7">
        <v>2026</v>
      </c>
      <c r="H85" s="8">
        <v>2906572</v>
      </c>
      <c r="I85" s="8">
        <v>8599058</v>
      </c>
      <c r="J85" s="9" t="s">
        <v>7</v>
      </c>
      <c r="K85" s="7">
        <v>18</v>
      </c>
      <c r="L85" s="8">
        <f t="shared" si="6"/>
        <v>5692486</v>
      </c>
      <c r="M85" s="10">
        <f t="shared" si="7"/>
        <v>0.66198948768574417</v>
      </c>
      <c r="N85" s="10">
        <f t="shared" si="8"/>
        <v>0</v>
      </c>
    </row>
    <row r="86" spans="1:14" x14ac:dyDescent="0.3">
      <c r="A86" s="7" t="s">
        <v>11</v>
      </c>
      <c r="B86" s="7" t="s">
        <v>13</v>
      </c>
      <c r="C86" s="7" t="s">
        <v>52</v>
      </c>
      <c r="D86" s="7" t="s">
        <v>5</v>
      </c>
      <c r="E86" s="7" t="s">
        <v>33</v>
      </c>
      <c r="F86" s="7" t="s">
        <v>4</v>
      </c>
      <c r="G86" s="7">
        <v>2026</v>
      </c>
      <c r="H86" s="8">
        <v>4286305</v>
      </c>
      <c r="I86" s="8">
        <v>8685423</v>
      </c>
      <c r="J86" s="9" t="s">
        <v>7</v>
      </c>
      <c r="K86" s="7">
        <v>15</v>
      </c>
      <c r="L86" s="8">
        <f t="shared" si="6"/>
        <v>4399118</v>
      </c>
      <c r="M86" s="10">
        <f t="shared" si="7"/>
        <v>0.5064943872048604</v>
      </c>
      <c r="N86" s="10">
        <f t="shared" si="8"/>
        <v>0</v>
      </c>
    </row>
    <row r="87" spans="1:14" x14ac:dyDescent="0.3">
      <c r="A87" s="7" t="s">
        <v>8</v>
      </c>
      <c r="B87" s="7" t="s">
        <v>9</v>
      </c>
      <c r="C87" s="7" t="s">
        <v>53</v>
      </c>
      <c r="D87" s="7" t="s">
        <v>6</v>
      </c>
      <c r="E87" s="7" t="s">
        <v>29</v>
      </c>
      <c r="F87" s="7" t="s">
        <v>4</v>
      </c>
      <c r="G87" s="7">
        <v>2026</v>
      </c>
      <c r="H87" s="8">
        <v>5150366</v>
      </c>
      <c r="I87" s="8">
        <v>8877742</v>
      </c>
      <c r="J87" s="7">
        <v>3</v>
      </c>
      <c r="K87" s="7">
        <v>6</v>
      </c>
      <c r="L87" s="8">
        <f t="shared" si="6"/>
        <v>3727376</v>
      </c>
      <c r="M87" s="10">
        <f t="shared" si="7"/>
        <v>0.41985631030953591</v>
      </c>
      <c r="N87" s="10">
        <f t="shared" si="8"/>
        <v>0.5</v>
      </c>
    </row>
    <row r="88" spans="1:14" x14ac:dyDescent="0.3">
      <c r="A88" s="7" t="s">
        <v>8</v>
      </c>
      <c r="B88" s="7" t="s">
        <v>9</v>
      </c>
      <c r="C88" s="7" t="s">
        <v>53</v>
      </c>
      <c r="D88" s="7" t="s">
        <v>6</v>
      </c>
      <c r="E88" s="7" t="s">
        <v>30</v>
      </c>
      <c r="F88" s="7" t="s">
        <v>4</v>
      </c>
      <c r="G88" s="7">
        <v>2026</v>
      </c>
      <c r="H88" s="8">
        <v>5620822</v>
      </c>
      <c r="I88" s="8">
        <v>8757403</v>
      </c>
      <c r="J88" s="7">
        <v>15</v>
      </c>
      <c r="K88" s="7">
        <v>19</v>
      </c>
      <c r="L88" s="8">
        <f t="shared" si="6"/>
        <v>3136581</v>
      </c>
      <c r="M88" s="10">
        <f t="shared" si="7"/>
        <v>0.35816337331969306</v>
      </c>
      <c r="N88" s="10">
        <f t="shared" si="8"/>
        <v>0.78947368421052633</v>
      </c>
    </row>
    <row r="89" spans="1:14" x14ac:dyDescent="0.3">
      <c r="A89" s="7" t="s">
        <v>8</v>
      </c>
      <c r="B89" s="7" t="s">
        <v>9</v>
      </c>
      <c r="C89" s="7" t="s">
        <v>53</v>
      </c>
      <c r="D89" s="7" t="s">
        <v>6</v>
      </c>
      <c r="E89" s="7" t="s">
        <v>31</v>
      </c>
      <c r="F89" s="7" t="s">
        <v>4</v>
      </c>
      <c r="G89" s="7">
        <v>2026</v>
      </c>
      <c r="H89" s="8">
        <v>3685580</v>
      </c>
      <c r="I89" s="8">
        <v>8890269</v>
      </c>
      <c r="J89" s="7">
        <v>12</v>
      </c>
      <c r="K89" s="7">
        <v>16</v>
      </c>
      <c r="L89" s="8">
        <f t="shared" si="6"/>
        <v>5204689</v>
      </c>
      <c r="M89" s="10">
        <f t="shared" si="7"/>
        <v>0.5854366161473854</v>
      </c>
      <c r="N89" s="10">
        <f t="shared" si="8"/>
        <v>0.75</v>
      </c>
    </row>
    <row r="90" spans="1:14" x14ac:dyDescent="0.3">
      <c r="A90" s="7" t="s">
        <v>8</v>
      </c>
      <c r="B90" s="7" t="s">
        <v>9</v>
      </c>
      <c r="C90" s="7" t="s">
        <v>53</v>
      </c>
      <c r="D90" s="7" t="s">
        <v>6</v>
      </c>
      <c r="E90" s="7" t="s">
        <v>32</v>
      </c>
      <c r="F90" s="7" t="s">
        <v>4</v>
      </c>
      <c r="G90" s="7">
        <v>2026</v>
      </c>
      <c r="H90" s="8">
        <v>2681420</v>
      </c>
      <c r="I90" s="8">
        <v>9089277</v>
      </c>
      <c r="J90" s="7">
        <v>17</v>
      </c>
      <c r="K90" s="7">
        <v>21</v>
      </c>
      <c r="L90" s="8">
        <f t="shared" si="6"/>
        <v>6407857</v>
      </c>
      <c r="M90" s="10">
        <f t="shared" si="7"/>
        <v>0.70499083700496745</v>
      </c>
      <c r="N90" s="10">
        <f t="shared" si="8"/>
        <v>0.80952380952380953</v>
      </c>
    </row>
    <row r="91" spans="1:14" x14ac:dyDescent="0.3">
      <c r="A91" s="7" t="s">
        <v>8</v>
      </c>
      <c r="B91" s="7" t="s">
        <v>9</v>
      </c>
      <c r="C91" s="7" t="s">
        <v>53</v>
      </c>
      <c r="D91" s="7" t="s">
        <v>5</v>
      </c>
      <c r="E91" s="7" t="s">
        <v>33</v>
      </c>
      <c r="F91" s="7" t="s">
        <v>4</v>
      </c>
      <c r="G91" s="7">
        <v>2026</v>
      </c>
      <c r="H91" s="8">
        <v>4805056</v>
      </c>
      <c r="I91" s="8">
        <v>8895516</v>
      </c>
      <c r="J91" s="7">
        <v>5</v>
      </c>
      <c r="K91" s="7">
        <v>6</v>
      </c>
      <c r="L91" s="8">
        <f t="shared" si="6"/>
        <v>4090460</v>
      </c>
      <c r="M91" s="10">
        <f t="shared" si="7"/>
        <v>0.45983392082033242</v>
      </c>
      <c r="N91" s="10">
        <f t="shared" si="8"/>
        <v>0.83333333333333337</v>
      </c>
    </row>
    <row r="92" spans="1:14" x14ac:dyDescent="0.3">
      <c r="A92" s="7" t="s">
        <v>8</v>
      </c>
      <c r="B92" s="7" t="s">
        <v>9</v>
      </c>
      <c r="C92" s="7" t="s">
        <v>54</v>
      </c>
      <c r="D92" s="7" t="s">
        <v>6</v>
      </c>
      <c r="E92" s="7" t="s">
        <v>29</v>
      </c>
      <c r="F92" s="7" t="s">
        <v>4</v>
      </c>
      <c r="G92" s="7">
        <v>2026</v>
      </c>
      <c r="H92" s="8">
        <v>2693471</v>
      </c>
      <c r="I92" s="8">
        <v>9103716</v>
      </c>
      <c r="J92" s="7">
        <v>20</v>
      </c>
      <c r="K92" s="7">
        <v>22</v>
      </c>
      <c r="L92" s="8">
        <f t="shared" si="6"/>
        <v>6410245</v>
      </c>
      <c r="M92" s="10">
        <f t="shared" si="7"/>
        <v>0.70413499278756064</v>
      </c>
      <c r="N92" s="10">
        <f t="shared" si="8"/>
        <v>0.90909090909090906</v>
      </c>
    </row>
    <row r="93" spans="1:14" x14ac:dyDescent="0.3">
      <c r="A93" s="7" t="s">
        <v>8</v>
      </c>
      <c r="B93" s="7" t="s">
        <v>9</v>
      </c>
      <c r="C93" s="7" t="s">
        <v>54</v>
      </c>
      <c r="D93" s="7" t="s">
        <v>6</v>
      </c>
      <c r="E93" s="7" t="s">
        <v>30</v>
      </c>
      <c r="F93" s="7" t="s">
        <v>4</v>
      </c>
      <c r="G93" s="7">
        <v>2026</v>
      </c>
      <c r="H93" s="8">
        <v>5880610</v>
      </c>
      <c r="I93" s="8">
        <v>8626940</v>
      </c>
      <c r="J93" s="7">
        <v>8</v>
      </c>
      <c r="K93" s="7">
        <v>9</v>
      </c>
      <c r="L93" s="8">
        <f t="shared" si="6"/>
        <v>2746330</v>
      </c>
      <c r="M93" s="10">
        <f t="shared" si="7"/>
        <v>0.31834346825177873</v>
      </c>
      <c r="N93" s="10">
        <f t="shared" si="8"/>
        <v>0.88888888888888884</v>
      </c>
    </row>
    <row r="94" spans="1:14" x14ac:dyDescent="0.3">
      <c r="A94" s="7" t="s">
        <v>8</v>
      </c>
      <c r="B94" s="7" t="s">
        <v>9</v>
      </c>
      <c r="C94" s="7" t="s">
        <v>54</v>
      </c>
      <c r="D94" s="7" t="s">
        <v>6</v>
      </c>
      <c r="E94" s="7" t="s">
        <v>31</v>
      </c>
      <c r="F94" s="7" t="s">
        <v>4</v>
      </c>
      <c r="G94" s="7">
        <v>2026</v>
      </c>
      <c r="H94" s="8">
        <v>3932724</v>
      </c>
      <c r="I94" s="8">
        <v>9006043</v>
      </c>
      <c r="J94" s="7">
        <v>17</v>
      </c>
      <c r="K94" s="7">
        <v>19</v>
      </c>
      <c r="L94" s="8">
        <f t="shared" si="6"/>
        <v>5073319</v>
      </c>
      <c r="M94" s="10">
        <f t="shared" si="7"/>
        <v>0.56332387042788934</v>
      </c>
      <c r="N94" s="10">
        <f t="shared" si="8"/>
        <v>0.89473684210526316</v>
      </c>
    </row>
    <row r="95" spans="1:14" x14ac:dyDescent="0.3">
      <c r="A95" s="7" t="s">
        <v>8</v>
      </c>
      <c r="B95" s="7" t="s">
        <v>9</v>
      </c>
      <c r="C95" s="7" t="s">
        <v>54</v>
      </c>
      <c r="D95" s="7" t="s">
        <v>6</v>
      </c>
      <c r="E95" s="7" t="s">
        <v>32</v>
      </c>
      <c r="F95" s="7" t="s">
        <v>4</v>
      </c>
      <c r="G95" s="7">
        <v>2026</v>
      </c>
      <c r="H95" s="8">
        <v>4908311</v>
      </c>
      <c r="I95" s="8">
        <v>9069817</v>
      </c>
      <c r="J95" s="7">
        <v>17</v>
      </c>
      <c r="K95" s="7">
        <v>20</v>
      </c>
      <c r="L95" s="8">
        <f t="shared" si="6"/>
        <v>4161506</v>
      </c>
      <c r="M95" s="10">
        <f t="shared" si="7"/>
        <v>0.45883020572520922</v>
      </c>
      <c r="N95" s="10">
        <f t="shared" si="8"/>
        <v>0.85</v>
      </c>
    </row>
    <row r="96" spans="1:14" x14ac:dyDescent="0.3">
      <c r="A96" s="7" t="s">
        <v>8</v>
      </c>
      <c r="B96" s="7" t="s">
        <v>9</v>
      </c>
      <c r="C96" s="7" t="s">
        <v>54</v>
      </c>
      <c r="D96" s="7" t="s">
        <v>5</v>
      </c>
      <c r="E96" s="7" t="s">
        <v>33</v>
      </c>
      <c r="F96" s="7" t="s">
        <v>4</v>
      </c>
      <c r="G96" s="7">
        <v>2026</v>
      </c>
      <c r="H96" s="8">
        <v>5259436</v>
      </c>
      <c r="I96" s="8">
        <v>8817917</v>
      </c>
      <c r="J96" s="7">
        <v>17</v>
      </c>
      <c r="K96" s="7">
        <v>22</v>
      </c>
      <c r="L96" s="8">
        <f t="shared" si="6"/>
        <v>3558481</v>
      </c>
      <c r="M96" s="10">
        <f t="shared" si="7"/>
        <v>0.40355120149123652</v>
      </c>
      <c r="N96" s="10">
        <f t="shared" si="8"/>
        <v>0.77272727272727271</v>
      </c>
    </row>
    <row r="97" spans="1:14" x14ac:dyDescent="0.3">
      <c r="A97" s="7" t="s">
        <v>8</v>
      </c>
      <c r="B97" s="7" t="s">
        <v>10</v>
      </c>
      <c r="C97" s="7" t="s">
        <v>55</v>
      </c>
      <c r="D97" s="7" t="s">
        <v>6</v>
      </c>
      <c r="E97" s="7" t="s">
        <v>29</v>
      </c>
      <c r="F97" s="7" t="s">
        <v>4</v>
      </c>
      <c r="G97" s="7">
        <v>2026</v>
      </c>
      <c r="H97" s="8">
        <v>4790417</v>
      </c>
      <c r="I97" s="8">
        <v>8872443</v>
      </c>
      <c r="J97" s="7">
        <v>5</v>
      </c>
      <c r="K97" s="7">
        <v>6</v>
      </c>
      <c r="L97" s="8">
        <f t="shared" si="6"/>
        <v>4082026</v>
      </c>
      <c r="M97" s="10">
        <f t="shared" si="7"/>
        <v>0.46007914618330037</v>
      </c>
      <c r="N97" s="10">
        <f t="shared" si="8"/>
        <v>0.83333333333333337</v>
      </c>
    </row>
    <row r="98" spans="1:14" x14ac:dyDescent="0.3">
      <c r="A98" s="7" t="s">
        <v>8</v>
      </c>
      <c r="B98" s="7" t="s">
        <v>10</v>
      </c>
      <c r="C98" s="7" t="s">
        <v>55</v>
      </c>
      <c r="D98" s="7" t="s">
        <v>6</v>
      </c>
      <c r="E98" s="7" t="s">
        <v>30</v>
      </c>
      <c r="F98" s="7" t="s">
        <v>4</v>
      </c>
      <c r="G98" s="7">
        <v>2026</v>
      </c>
      <c r="H98" s="8">
        <v>4283481</v>
      </c>
      <c r="I98" s="8">
        <v>8895152</v>
      </c>
      <c r="J98" s="7">
        <v>3</v>
      </c>
      <c r="K98" s="7">
        <v>5</v>
      </c>
      <c r="L98" s="8">
        <f t="shared" ref="L98:L111" si="9">IFERROR(I98-H98, 0)</f>
        <v>4611671</v>
      </c>
      <c r="M98" s="10">
        <f t="shared" ref="M98:M111" si="10">IFERROR(L98/I98,0)</f>
        <v>0.51844768925814866</v>
      </c>
      <c r="N98" s="10">
        <f t="shared" ref="N98:N111" si="11">IFERROR((J98/K98),0)</f>
        <v>0.6</v>
      </c>
    </row>
    <row r="99" spans="1:14" x14ac:dyDescent="0.3">
      <c r="A99" s="7" t="s">
        <v>8</v>
      </c>
      <c r="B99" s="7" t="s">
        <v>10</v>
      </c>
      <c r="C99" s="7" t="s">
        <v>55</v>
      </c>
      <c r="D99" s="7" t="s">
        <v>6</v>
      </c>
      <c r="E99" s="7" t="s">
        <v>31</v>
      </c>
      <c r="F99" s="7" t="s">
        <v>4</v>
      </c>
      <c r="G99" s="7">
        <v>2026</v>
      </c>
      <c r="H99" s="8">
        <v>4606575</v>
      </c>
      <c r="I99" s="8">
        <v>8658343</v>
      </c>
      <c r="J99" s="7">
        <v>10</v>
      </c>
      <c r="K99" s="7">
        <v>14</v>
      </c>
      <c r="L99" s="8">
        <f t="shared" si="9"/>
        <v>4051768</v>
      </c>
      <c r="M99" s="10">
        <f t="shared" si="10"/>
        <v>0.46796113297890835</v>
      </c>
      <c r="N99" s="10">
        <f t="shared" si="11"/>
        <v>0.7142857142857143</v>
      </c>
    </row>
    <row r="100" spans="1:14" x14ac:dyDescent="0.3">
      <c r="A100" s="7" t="s">
        <v>8</v>
      </c>
      <c r="B100" s="7" t="s">
        <v>10</v>
      </c>
      <c r="C100" s="7" t="s">
        <v>55</v>
      </c>
      <c r="D100" s="7" t="s">
        <v>6</v>
      </c>
      <c r="E100" s="7" t="s">
        <v>32</v>
      </c>
      <c r="F100" s="7" t="s">
        <v>4</v>
      </c>
      <c r="G100" s="7">
        <v>2026</v>
      </c>
      <c r="H100" s="8">
        <v>5054482</v>
      </c>
      <c r="I100" s="8">
        <v>8422578</v>
      </c>
      <c r="J100" s="7">
        <v>12</v>
      </c>
      <c r="K100" s="7">
        <v>14</v>
      </c>
      <c r="L100" s="8">
        <f t="shared" si="9"/>
        <v>3368096</v>
      </c>
      <c r="M100" s="10">
        <f t="shared" si="10"/>
        <v>0.39988896511258193</v>
      </c>
      <c r="N100" s="10">
        <f t="shared" si="11"/>
        <v>0.8571428571428571</v>
      </c>
    </row>
    <row r="101" spans="1:14" x14ac:dyDescent="0.3">
      <c r="A101" s="7" t="s">
        <v>8</v>
      </c>
      <c r="B101" s="7" t="s">
        <v>10</v>
      </c>
      <c r="C101" s="7" t="s">
        <v>55</v>
      </c>
      <c r="D101" s="7" t="s">
        <v>5</v>
      </c>
      <c r="E101" s="7" t="s">
        <v>33</v>
      </c>
      <c r="F101" s="7" t="s">
        <v>4</v>
      </c>
      <c r="G101" s="7">
        <v>2026</v>
      </c>
      <c r="H101" s="8">
        <v>3648615</v>
      </c>
      <c r="I101" s="8">
        <v>8443980</v>
      </c>
      <c r="J101" s="7">
        <v>11</v>
      </c>
      <c r="K101" s="7">
        <v>16</v>
      </c>
      <c r="L101" s="8">
        <f t="shared" si="9"/>
        <v>4795365</v>
      </c>
      <c r="M101" s="10">
        <f t="shared" si="10"/>
        <v>0.56790340573994724</v>
      </c>
      <c r="N101" s="10">
        <f t="shared" si="11"/>
        <v>0.6875</v>
      </c>
    </row>
    <row r="102" spans="1:14" x14ac:dyDescent="0.3">
      <c r="A102" s="7" t="s">
        <v>14</v>
      </c>
      <c r="B102" s="7" t="s">
        <v>15</v>
      </c>
      <c r="C102" s="7" t="s">
        <v>56</v>
      </c>
      <c r="D102" s="7" t="s">
        <v>6</v>
      </c>
      <c r="E102" s="7" t="s">
        <v>29</v>
      </c>
      <c r="F102" s="7" t="s">
        <v>4</v>
      </c>
      <c r="G102" s="7">
        <v>2026</v>
      </c>
      <c r="H102" s="8">
        <v>4018835</v>
      </c>
      <c r="I102" s="8">
        <v>9012225</v>
      </c>
      <c r="J102" s="7">
        <v>7</v>
      </c>
      <c r="K102" s="7">
        <v>9</v>
      </c>
      <c r="L102" s="8">
        <f t="shared" si="9"/>
        <v>4993390</v>
      </c>
      <c r="M102" s="10">
        <f t="shared" si="10"/>
        <v>0.55406850139671393</v>
      </c>
      <c r="N102" s="10">
        <f t="shared" si="11"/>
        <v>0.77777777777777779</v>
      </c>
    </row>
    <row r="103" spans="1:14" x14ac:dyDescent="0.3">
      <c r="A103" s="7" t="s">
        <v>14</v>
      </c>
      <c r="B103" s="7" t="s">
        <v>15</v>
      </c>
      <c r="C103" s="7" t="s">
        <v>56</v>
      </c>
      <c r="D103" s="7" t="s">
        <v>6</v>
      </c>
      <c r="E103" s="7" t="s">
        <v>30</v>
      </c>
      <c r="F103" s="7" t="s">
        <v>4</v>
      </c>
      <c r="G103" s="7">
        <v>2026</v>
      </c>
      <c r="H103" s="8">
        <v>4285483</v>
      </c>
      <c r="I103" s="8">
        <v>9078339</v>
      </c>
      <c r="J103" s="7">
        <v>4</v>
      </c>
      <c r="K103" s="7">
        <v>5</v>
      </c>
      <c r="L103" s="8">
        <f t="shared" si="9"/>
        <v>4792856</v>
      </c>
      <c r="M103" s="10">
        <f t="shared" si="10"/>
        <v>0.52794415366070824</v>
      </c>
      <c r="N103" s="10">
        <f t="shared" si="11"/>
        <v>0.8</v>
      </c>
    </row>
    <row r="104" spans="1:14" x14ac:dyDescent="0.3">
      <c r="A104" s="7" t="s">
        <v>14</v>
      </c>
      <c r="B104" s="7" t="s">
        <v>15</v>
      </c>
      <c r="C104" s="7" t="s">
        <v>56</v>
      </c>
      <c r="D104" s="7" t="s">
        <v>6</v>
      </c>
      <c r="E104" s="7" t="s">
        <v>31</v>
      </c>
      <c r="F104" s="7" t="s">
        <v>4</v>
      </c>
      <c r="G104" s="7">
        <v>2026</v>
      </c>
      <c r="H104" s="8">
        <v>5285864</v>
      </c>
      <c r="I104" s="8">
        <v>8719006</v>
      </c>
      <c r="J104" s="7">
        <v>18</v>
      </c>
      <c r="K104" s="7">
        <v>21</v>
      </c>
      <c r="L104" s="8">
        <f t="shared" si="9"/>
        <v>3433142</v>
      </c>
      <c r="M104" s="10">
        <f t="shared" si="10"/>
        <v>0.3937538292782457</v>
      </c>
      <c r="N104" s="10">
        <f t="shared" si="11"/>
        <v>0.8571428571428571</v>
      </c>
    </row>
    <row r="105" spans="1:14" x14ac:dyDescent="0.3">
      <c r="A105" s="7" t="s">
        <v>14</v>
      </c>
      <c r="B105" s="7" t="s">
        <v>15</v>
      </c>
      <c r="C105" s="7" t="s">
        <v>56</v>
      </c>
      <c r="D105" s="7" t="s">
        <v>6</v>
      </c>
      <c r="E105" s="7" t="s">
        <v>32</v>
      </c>
      <c r="F105" s="7" t="s">
        <v>4</v>
      </c>
      <c r="G105" s="7">
        <v>2026</v>
      </c>
      <c r="H105" s="8">
        <v>5785601</v>
      </c>
      <c r="I105" s="8">
        <v>8630148</v>
      </c>
      <c r="J105" s="7">
        <v>7</v>
      </c>
      <c r="K105" s="7">
        <v>10</v>
      </c>
      <c r="L105" s="8">
        <f t="shared" si="9"/>
        <v>2844547</v>
      </c>
      <c r="M105" s="10">
        <f t="shared" si="10"/>
        <v>0.32960581904273251</v>
      </c>
      <c r="N105" s="10">
        <f t="shared" si="11"/>
        <v>0.7</v>
      </c>
    </row>
    <row r="106" spans="1:14" x14ac:dyDescent="0.3">
      <c r="A106" s="7" t="s">
        <v>14</v>
      </c>
      <c r="B106" s="7" t="s">
        <v>15</v>
      </c>
      <c r="C106" s="7" t="s">
        <v>56</v>
      </c>
      <c r="D106" s="7" t="s">
        <v>5</v>
      </c>
      <c r="E106" s="7" t="s">
        <v>33</v>
      </c>
      <c r="F106" s="7" t="s">
        <v>4</v>
      </c>
      <c r="G106" s="7">
        <v>2026</v>
      </c>
      <c r="H106" s="8">
        <v>3326031</v>
      </c>
      <c r="I106" s="8">
        <v>8504224</v>
      </c>
      <c r="J106" s="7">
        <v>5</v>
      </c>
      <c r="K106" s="7">
        <v>7</v>
      </c>
      <c r="L106" s="8">
        <f t="shared" si="9"/>
        <v>5178193</v>
      </c>
      <c r="M106" s="10">
        <f t="shared" si="10"/>
        <v>0.6088965906824656</v>
      </c>
      <c r="N106" s="10">
        <f t="shared" si="11"/>
        <v>0.7142857142857143</v>
      </c>
    </row>
    <row r="107" spans="1:14" x14ac:dyDescent="0.3">
      <c r="A107" s="7" t="s">
        <v>14</v>
      </c>
      <c r="B107" s="7" t="s">
        <v>16</v>
      </c>
      <c r="C107" s="7" t="s">
        <v>57</v>
      </c>
      <c r="D107" s="7" t="s">
        <v>6</v>
      </c>
      <c r="E107" s="7" t="s">
        <v>29</v>
      </c>
      <c r="F107" s="7" t="s">
        <v>4</v>
      </c>
      <c r="G107" s="7">
        <v>2026</v>
      </c>
      <c r="H107" s="8">
        <v>4557606</v>
      </c>
      <c r="I107" s="8">
        <v>9014448</v>
      </c>
      <c r="J107" s="7">
        <v>6</v>
      </c>
      <c r="K107" s="7">
        <v>11</v>
      </c>
      <c r="L107" s="8">
        <f t="shared" si="9"/>
        <v>4456842</v>
      </c>
      <c r="M107" s="10">
        <f t="shared" si="10"/>
        <v>0.49441097225254393</v>
      </c>
      <c r="N107" s="10">
        <f t="shared" si="11"/>
        <v>0.54545454545454541</v>
      </c>
    </row>
    <row r="108" spans="1:14" x14ac:dyDescent="0.3">
      <c r="A108" s="7" t="s">
        <v>14</v>
      </c>
      <c r="B108" s="7" t="s">
        <v>16</v>
      </c>
      <c r="C108" s="7" t="s">
        <v>57</v>
      </c>
      <c r="D108" s="7" t="s">
        <v>6</v>
      </c>
      <c r="E108" s="7" t="s">
        <v>30</v>
      </c>
      <c r="F108" s="7" t="s">
        <v>4</v>
      </c>
      <c r="G108" s="7">
        <v>2026</v>
      </c>
      <c r="H108" s="8">
        <v>3190009</v>
      </c>
      <c r="I108" s="8">
        <v>8674613</v>
      </c>
      <c r="J108" s="7">
        <v>19</v>
      </c>
      <c r="K108" s="7">
        <v>22</v>
      </c>
      <c r="L108" s="8">
        <f t="shared" si="9"/>
        <v>5484604</v>
      </c>
      <c r="M108" s="10">
        <f t="shared" si="10"/>
        <v>0.63225921433036836</v>
      </c>
      <c r="N108" s="10">
        <f t="shared" si="11"/>
        <v>0.86363636363636365</v>
      </c>
    </row>
    <row r="109" spans="1:14" x14ac:dyDescent="0.3">
      <c r="A109" s="7" t="s">
        <v>14</v>
      </c>
      <c r="B109" s="7" t="s">
        <v>16</v>
      </c>
      <c r="C109" s="7" t="s">
        <v>57</v>
      </c>
      <c r="D109" s="7" t="s">
        <v>6</v>
      </c>
      <c r="E109" s="7" t="s">
        <v>31</v>
      </c>
      <c r="F109" s="7" t="s">
        <v>4</v>
      </c>
      <c r="G109" s="7">
        <v>2026</v>
      </c>
      <c r="H109" s="8">
        <v>3442649</v>
      </c>
      <c r="I109" s="8">
        <v>9070797</v>
      </c>
      <c r="J109" s="7">
        <v>6</v>
      </c>
      <c r="K109" s="7">
        <v>8</v>
      </c>
      <c r="L109" s="8">
        <f t="shared" si="9"/>
        <v>5628148</v>
      </c>
      <c r="M109" s="10">
        <f t="shared" si="10"/>
        <v>0.62046896209892033</v>
      </c>
      <c r="N109" s="10">
        <f t="shared" si="11"/>
        <v>0.75</v>
      </c>
    </row>
    <row r="110" spans="1:14" x14ac:dyDescent="0.3">
      <c r="A110" s="7" t="s">
        <v>14</v>
      </c>
      <c r="B110" s="7" t="s">
        <v>16</v>
      </c>
      <c r="C110" s="7" t="s">
        <v>57</v>
      </c>
      <c r="D110" s="7" t="s">
        <v>6</v>
      </c>
      <c r="E110" s="7" t="s">
        <v>32</v>
      </c>
      <c r="F110" s="7" t="s">
        <v>4</v>
      </c>
      <c r="G110" s="7">
        <v>2026</v>
      </c>
      <c r="H110" s="8">
        <v>3475275</v>
      </c>
      <c r="I110" s="8">
        <v>8994585</v>
      </c>
      <c r="J110" s="7">
        <v>6</v>
      </c>
      <c r="K110" s="7">
        <v>6</v>
      </c>
      <c r="L110" s="8">
        <f t="shared" si="9"/>
        <v>5519310</v>
      </c>
      <c r="M110" s="10">
        <f t="shared" si="10"/>
        <v>0.61362586489537874</v>
      </c>
      <c r="N110" s="10">
        <f t="shared" si="11"/>
        <v>1</v>
      </c>
    </row>
    <row r="111" spans="1:14" x14ac:dyDescent="0.3">
      <c r="A111" s="7" t="s">
        <v>14</v>
      </c>
      <c r="B111" s="7" t="s">
        <v>16</v>
      </c>
      <c r="C111" s="7" t="s">
        <v>57</v>
      </c>
      <c r="D111" s="7" t="s">
        <v>5</v>
      </c>
      <c r="E111" s="7" t="s">
        <v>33</v>
      </c>
      <c r="F111" s="7" t="s">
        <v>4</v>
      </c>
      <c r="G111" s="7">
        <v>2026</v>
      </c>
      <c r="H111" s="8">
        <v>3508173</v>
      </c>
      <c r="I111" s="8">
        <v>8762992</v>
      </c>
      <c r="J111" s="7">
        <v>17</v>
      </c>
      <c r="K111" s="7">
        <v>21</v>
      </c>
      <c r="L111" s="8">
        <f t="shared" si="9"/>
        <v>5254819</v>
      </c>
      <c r="M111" s="10">
        <f t="shared" si="10"/>
        <v>0.59966036714400739</v>
      </c>
      <c r="N111" s="10">
        <f t="shared" si="11"/>
        <v>0.80952380952380953</v>
      </c>
    </row>
    <row r="112" spans="1:14" x14ac:dyDescent="0.3">
      <c r="H112" s="1"/>
      <c r="I112" s="4"/>
    </row>
    <row r="113" spans="8:9" x14ac:dyDescent="0.3">
      <c r="H113" s="1"/>
      <c r="I113" s="4"/>
    </row>
    <row r="114" spans="8:9" x14ac:dyDescent="0.3">
      <c r="H114" s="1"/>
    </row>
    <row r="115" spans="8:9" x14ac:dyDescent="0.3">
      <c r="H115" s="1"/>
    </row>
    <row r="116" spans="8:9" x14ac:dyDescent="0.3">
      <c r="H116" s="1"/>
    </row>
    <row r="117" spans="8:9" x14ac:dyDescent="0.3">
      <c r="H117" s="1"/>
    </row>
    <row r="118" spans="8:9" x14ac:dyDescent="0.3">
      <c r="H118" s="1"/>
    </row>
  </sheetData>
  <autoFilter ref="A1:N111" xr:uid="{EB93A859-A5E5-4D9A-AD59-D64648D8BB8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 S</dc:creator>
  <cp:lastModifiedBy>Sandhiya S</cp:lastModifiedBy>
  <dcterms:created xsi:type="dcterms:W3CDTF">2026-06-26T02:44:52Z</dcterms:created>
  <dcterms:modified xsi:type="dcterms:W3CDTF">2026-06-30T14:15:55Z</dcterms:modified>
</cp:coreProperties>
</file>